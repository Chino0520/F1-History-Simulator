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marco\Desktop\Lavori Excel World\"/>
    </mc:Choice>
  </mc:AlternateContent>
  <xr:revisionPtr revIDLastSave="0" documentId="13_ncr:1_{B742A0B0-14EA-4310-977B-42992151F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stiche_Globali" sheetId="3" r:id="rId1"/>
    <sheet name="1950" sheetId="4" r:id="rId2"/>
    <sheet name="1951" sheetId="5" r:id="rId3"/>
    <sheet name="1952" sheetId="6" r:id="rId4"/>
    <sheet name="1953" sheetId="7" r:id="rId5"/>
    <sheet name="1954" sheetId="8" r:id="rId6"/>
    <sheet name="1955" sheetId="9" r:id="rId7"/>
    <sheet name="1956" sheetId="10" r:id="rId8"/>
    <sheet name="1957" sheetId="11" r:id="rId9"/>
    <sheet name="1958" sheetId="12" r:id="rId10"/>
    <sheet name="1959" sheetId="13" r:id="rId11"/>
    <sheet name="1960" sheetId="14" r:id="rId12"/>
    <sheet name="1961" sheetId="15" r:id="rId13"/>
    <sheet name="1962" sheetId="16" r:id="rId14"/>
    <sheet name="1963" sheetId="17" r:id="rId15"/>
    <sheet name="1964" sheetId="18" r:id="rId16"/>
    <sheet name="1965" sheetId="19" r:id="rId17"/>
    <sheet name="1966" sheetId="20" r:id="rId18"/>
    <sheet name="1967" sheetId="21" r:id="rId19"/>
    <sheet name="1968" sheetId="22" r:id="rId20"/>
    <sheet name="1969" sheetId="23" r:id="rId21"/>
    <sheet name="1970" sheetId="24" r:id="rId22"/>
    <sheet name="1971" sheetId="25" r:id="rId23"/>
    <sheet name="1972" sheetId="26" r:id="rId24"/>
    <sheet name="1973" sheetId="27" r:id="rId25"/>
    <sheet name="1974" sheetId="28" r:id="rId26"/>
    <sheet name="1975" sheetId="29" r:id="rId27"/>
    <sheet name="1976" sheetId="30" r:id="rId28"/>
    <sheet name="1977" sheetId="31" r:id="rId29"/>
    <sheet name="1978" sheetId="32" r:id="rId30"/>
    <sheet name="1979" sheetId="33" r:id="rId31"/>
    <sheet name="1980" sheetId="34" r:id="rId32"/>
    <sheet name="1981" sheetId="35" r:id="rId33"/>
    <sheet name="1982" sheetId="36" r:id="rId34"/>
    <sheet name="1983" sheetId="37" r:id="rId35"/>
    <sheet name="1984" sheetId="38" r:id="rId36"/>
    <sheet name="1985" sheetId="39" r:id="rId37"/>
    <sheet name="1986" sheetId="40" r:id="rId38"/>
    <sheet name="1987" sheetId="41" r:id="rId39"/>
    <sheet name="1988" sheetId="42" r:id="rId40"/>
    <sheet name="1989" sheetId="43" r:id="rId41"/>
    <sheet name="1990" sheetId="44" r:id="rId42"/>
    <sheet name="1991" sheetId="45" r:id="rId43"/>
    <sheet name="1992" sheetId="46" r:id="rId44"/>
    <sheet name="1993" sheetId="47" r:id="rId45"/>
    <sheet name="1994" sheetId="48" r:id="rId46"/>
    <sheet name="1995" sheetId="49" r:id="rId47"/>
    <sheet name="1996" sheetId="50" r:id="rId48"/>
    <sheet name="1997" sheetId="51" r:id="rId49"/>
    <sheet name="1998" sheetId="52" r:id="rId50"/>
    <sheet name="1999" sheetId="53" r:id="rId51"/>
    <sheet name="2000" sheetId="54" r:id="rId52"/>
    <sheet name="2001" sheetId="55" r:id="rId53"/>
    <sheet name="2002" sheetId="56" r:id="rId54"/>
    <sheet name="2003" sheetId="57" r:id="rId55"/>
    <sheet name="2004" sheetId="58" r:id="rId56"/>
    <sheet name="2005" sheetId="59" r:id="rId57"/>
    <sheet name="2006" sheetId="60" r:id="rId58"/>
    <sheet name="2007" sheetId="61" r:id="rId59"/>
    <sheet name="2008" sheetId="62" r:id="rId60"/>
    <sheet name="2009" sheetId="63" r:id="rId61"/>
    <sheet name="2010" sheetId="64" r:id="rId62"/>
    <sheet name="2011" sheetId="65" r:id="rId63"/>
    <sheet name="2012" sheetId="66" r:id="rId64"/>
    <sheet name="2013" sheetId="67" r:id="rId65"/>
    <sheet name="2014" sheetId="68" r:id="rId66"/>
    <sheet name="2015" sheetId="69" r:id="rId67"/>
    <sheet name="2016" sheetId="70" r:id="rId68"/>
    <sheet name="2017" sheetId="71" r:id="rId69"/>
    <sheet name="2018" sheetId="72" r:id="rId70"/>
    <sheet name="2019" sheetId="73" r:id="rId71"/>
    <sheet name="2020" sheetId="74" r:id="rId72"/>
    <sheet name="2021" sheetId="75" r:id="rId73"/>
    <sheet name="2022" sheetId="76" r:id="rId74"/>
    <sheet name="2023" sheetId="77" r:id="rId75"/>
    <sheet name="2024" sheetId="78" r:id="rId76"/>
    <sheet name="2025" sheetId="79" r:id="rId77"/>
  </sheets>
  <calcPr calcId="181029" calcMode="manual"/>
</workbook>
</file>

<file path=xl/calcChain.xml><?xml version="1.0" encoding="utf-8"?>
<calcChain xmlns="http://schemas.openxmlformats.org/spreadsheetml/2006/main">
  <c r="B31" i="17" l="1"/>
  <c r="V20" i="17"/>
  <c r="Q20" i="17"/>
  <c r="V19" i="17"/>
  <c r="Q19" i="17"/>
  <c r="V18" i="17"/>
  <c r="Q18" i="17"/>
  <c r="S18" i="17" s="1"/>
  <c r="T18" i="17" s="1"/>
  <c r="V17" i="17"/>
  <c r="Q17" i="17"/>
  <c r="V16" i="17"/>
  <c r="Q16" i="17"/>
  <c r="V15" i="17"/>
  <c r="Q15" i="17"/>
  <c r="V14" i="17"/>
  <c r="Q14" i="17"/>
  <c r="S14" i="17" s="1"/>
  <c r="T14" i="17" s="1"/>
  <c r="V13" i="17"/>
  <c r="Q12" i="17"/>
  <c r="V12" i="17"/>
  <c r="Q11" i="17"/>
  <c r="V11" i="17"/>
  <c r="Q13" i="17"/>
  <c r="V10" i="17"/>
  <c r="Q9" i="17"/>
  <c r="V9" i="17"/>
  <c r="Q7" i="17"/>
  <c r="V8" i="17"/>
  <c r="Q10" i="17"/>
  <c r="V7" i="17"/>
  <c r="Q8" i="17"/>
  <c r="V6" i="17"/>
  <c r="Q6" i="17"/>
  <c r="S6" i="17" s="1"/>
  <c r="T6" i="17" s="1"/>
  <c r="V5" i="17"/>
  <c r="Q5" i="17"/>
  <c r="V4" i="17"/>
  <c r="Q4" i="17"/>
  <c r="S4" i="17" s="1"/>
  <c r="T4" i="17" s="1"/>
  <c r="M4" i="17"/>
  <c r="M5" i="17"/>
  <c r="M6" i="17"/>
  <c r="M8" i="17"/>
  <c r="M10" i="17"/>
  <c r="M7" i="17"/>
  <c r="M9" i="17"/>
  <c r="M13" i="17"/>
  <c r="M11" i="17"/>
  <c r="M12" i="17"/>
  <c r="M14" i="17"/>
  <c r="M15" i="17"/>
  <c r="M16" i="17"/>
  <c r="M17" i="17"/>
  <c r="M18" i="17"/>
  <c r="M19" i="17"/>
  <c r="M20" i="17"/>
  <c r="B16" i="3"/>
  <c r="P8" i="16"/>
  <c r="U20" i="16"/>
  <c r="P22" i="16"/>
  <c r="R22" i="16" s="1"/>
  <c r="S22" i="16" s="1"/>
  <c r="U23" i="16"/>
  <c r="P23" i="16"/>
  <c r="R23" i="16" s="1"/>
  <c r="S23" i="16" s="1"/>
  <c r="P20" i="16"/>
  <c r="U4" i="16"/>
  <c r="L8" i="16"/>
  <c r="L5" i="16"/>
  <c r="L7" i="16"/>
  <c r="B31" i="16" s="1"/>
  <c r="L12" i="16"/>
  <c r="L6" i="16"/>
  <c r="L13" i="16"/>
  <c r="L14" i="16"/>
  <c r="L9" i="16"/>
  <c r="B32" i="16" s="1"/>
  <c r="L10" i="16"/>
  <c r="L15" i="16"/>
  <c r="L16" i="16"/>
  <c r="L17" i="16"/>
  <c r="L18" i="16"/>
  <c r="L19" i="16"/>
  <c r="L20" i="16"/>
  <c r="L11" i="16"/>
  <c r="L21" i="16"/>
  <c r="B34" i="16" s="1"/>
  <c r="L22" i="16"/>
  <c r="L23" i="16"/>
  <c r="L4" i="16"/>
  <c r="D16" i="3" s="1"/>
  <c r="U22" i="16"/>
  <c r="U21" i="16"/>
  <c r="P21" i="16"/>
  <c r="R21" i="16" s="1"/>
  <c r="S21" i="16" s="1"/>
  <c r="P11" i="16"/>
  <c r="U19" i="16"/>
  <c r="U18" i="16"/>
  <c r="P19" i="16"/>
  <c r="R18" i="16" s="1"/>
  <c r="S18" i="16" s="1"/>
  <c r="U17" i="16"/>
  <c r="P18" i="16"/>
  <c r="U16" i="16"/>
  <c r="P17" i="16"/>
  <c r="R16" i="16" s="1"/>
  <c r="S16" i="16" s="1"/>
  <c r="U15" i="16"/>
  <c r="P16" i="16"/>
  <c r="U14" i="16"/>
  <c r="P15" i="16"/>
  <c r="R14" i="16" s="1"/>
  <c r="S14" i="16" s="1"/>
  <c r="U13" i="16"/>
  <c r="P10" i="16"/>
  <c r="U12" i="16"/>
  <c r="P9" i="16"/>
  <c r="R12" i="16" s="1"/>
  <c r="S12" i="16" s="1"/>
  <c r="U11" i="16"/>
  <c r="P14" i="16"/>
  <c r="U10" i="16"/>
  <c r="R10" i="16"/>
  <c r="S10" i="16" s="1"/>
  <c r="P13" i="16"/>
  <c r="U9" i="16"/>
  <c r="P6" i="16"/>
  <c r="U8" i="16"/>
  <c r="P12" i="16"/>
  <c r="U7" i="16"/>
  <c r="P7" i="16"/>
  <c r="R7" i="16" s="1"/>
  <c r="S7" i="16" s="1"/>
  <c r="U6" i="16"/>
  <c r="P5" i="16"/>
  <c r="R5" i="16" s="1"/>
  <c r="S5" i="16" s="1"/>
  <c r="U5" i="16"/>
  <c r="P4" i="16"/>
  <c r="P24" i="16" s="1"/>
  <c r="B15" i="3"/>
  <c r="B14" i="3"/>
  <c r="B43" i="36"/>
  <c r="B47" i="36"/>
  <c r="AB5" i="36"/>
  <c r="AB6" i="36"/>
  <c r="AB7" i="36"/>
  <c r="AB8" i="36"/>
  <c r="AB9" i="36"/>
  <c r="AB10" i="36"/>
  <c r="AB11" i="36"/>
  <c r="AB12" i="36"/>
  <c r="AB13" i="36"/>
  <c r="AB14" i="36"/>
  <c r="AB15" i="36"/>
  <c r="AB16" i="36"/>
  <c r="AB17" i="36"/>
  <c r="AB18" i="36"/>
  <c r="AB19" i="36"/>
  <c r="AB20" i="36"/>
  <c r="AB21" i="36"/>
  <c r="AB22" i="36"/>
  <c r="AB23" i="36"/>
  <c r="AB24" i="36"/>
  <c r="AB25" i="36"/>
  <c r="AB26" i="36"/>
  <c r="AB27" i="36"/>
  <c r="AB28" i="36"/>
  <c r="AB29" i="36"/>
  <c r="Y26" i="36"/>
  <c r="Z26" i="36" s="1"/>
  <c r="Y5" i="36"/>
  <c r="Z5" i="36" s="1"/>
  <c r="Y6" i="36"/>
  <c r="Z6" i="36" s="1"/>
  <c r="Y7" i="36"/>
  <c r="Z7" i="36" s="1"/>
  <c r="Y8" i="36"/>
  <c r="Z8" i="36" s="1"/>
  <c r="Y9" i="36"/>
  <c r="Z9" i="36" s="1"/>
  <c r="Y10" i="36"/>
  <c r="Z10" i="36" s="1"/>
  <c r="Y11" i="36"/>
  <c r="Z11" i="36" s="1"/>
  <c r="Y12" i="36"/>
  <c r="Z12" i="36" s="1"/>
  <c r="Y13" i="36"/>
  <c r="Z13" i="36" s="1"/>
  <c r="Y14" i="36"/>
  <c r="Z14" i="36" s="1"/>
  <c r="Y15" i="36"/>
  <c r="Z15" i="36" s="1"/>
  <c r="Y16" i="36"/>
  <c r="Z16" i="36" s="1"/>
  <c r="Y17" i="36"/>
  <c r="Z17" i="36" s="1"/>
  <c r="Y18" i="36"/>
  <c r="Z18" i="36" s="1"/>
  <c r="Y19" i="36"/>
  <c r="Z19" i="36" s="1"/>
  <c r="Y20" i="36"/>
  <c r="Z20" i="36" s="1"/>
  <c r="Y21" i="36"/>
  <c r="Z21" i="36" s="1"/>
  <c r="Y22" i="36"/>
  <c r="Z22" i="36" s="1"/>
  <c r="Y23" i="36"/>
  <c r="Z23" i="36" s="1"/>
  <c r="Y24" i="36"/>
  <c r="Z24" i="36" s="1"/>
  <c r="Y25" i="36"/>
  <c r="Z25" i="36" s="1"/>
  <c r="Y27" i="36"/>
  <c r="Z27" i="36" s="1"/>
  <c r="Y28" i="36"/>
  <c r="Z28" i="36" s="1"/>
  <c r="Y29" i="36"/>
  <c r="Z29" i="36" s="1"/>
  <c r="Y4" i="36"/>
  <c r="Z4" i="36" s="1"/>
  <c r="X5" i="36"/>
  <c r="X6" i="36"/>
  <c r="X7" i="36"/>
  <c r="X8" i="36"/>
  <c r="X9" i="36"/>
  <c r="X10" i="36"/>
  <c r="X11" i="36"/>
  <c r="X12" i="36"/>
  <c r="X13" i="36"/>
  <c r="X14" i="36"/>
  <c r="X15" i="36"/>
  <c r="X16" i="36"/>
  <c r="X17" i="36"/>
  <c r="X18" i="36"/>
  <c r="X19" i="36"/>
  <c r="X20" i="36"/>
  <c r="X21" i="36"/>
  <c r="X22" i="36"/>
  <c r="X23" i="36"/>
  <c r="X24" i="36"/>
  <c r="X25" i="36"/>
  <c r="X26" i="36"/>
  <c r="X27" i="36"/>
  <c r="X28" i="36"/>
  <c r="X29" i="36"/>
  <c r="X4" i="36"/>
  <c r="W30" i="36"/>
  <c r="W25" i="36"/>
  <c r="W24" i="36"/>
  <c r="W26" i="36"/>
  <c r="W27" i="36"/>
  <c r="W28" i="36"/>
  <c r="W29" i="36"/>
  <c r="S29" i="36"/>
  <c r="S28" i="36"/>
  <c r="S27" i="36"/>
  <c r="S26" i="36"/>
  <c r="B45" i="36" s="1"/>
  <c r="S25" i="36"/>
  <c r="S24" i="36"/>
  <c r="B44" i="36" s="1"/>
  <c r="S4" i="36"/>
  <c r="B38" i="36" s="1"/>
  <c r="S5" i="36"/>
  <c r="B35" i="36" s="1"/>
  <c r="S6" i="36"/>
  <c r="B36" i="36" s="1"/>
  <c r="S7" i="36"/>
  <c r="B37" i="36" s="1"/>
  <c r="S8" i="36"/>
  <c r="S9" i="36"/>
  <c r="S10" i="36"/>
  <c r="S11" i="36"/>
  <c r="B40" i="36" s="1"/>
  <c r="S12" i="36"/>
  <c r="B39" i="36" s="1"/>
  <c r="S13" i="36"/>
  <c r="B41" i="36" s="1"/>
  <c r="S14" i="36"/>
  <c r="S15" i="36"/>
  <c r="B42" i="36" s="1"/>
  <c r="S16" i="36"/>
  <c r="S17" i="36"/>
  <c r="S18" i="36"/>
  <c r="S19" i="36"/>
  <c r="S20" i="36"/>
  <c r="S21" i="36"/>
  <c r="S22" i="36"/>
  <c r="S23" i="36"/>
  <c r="B46" i="36" s="1"/>
  <c r="AB4" i="36"/>
  <c r="W5" i="36"/>
  <c r="W6" i="36"/>
  <c r="W7" i="36"/>
  <c r="W8" i="36"/>
  <c r="W9" i="36"/>
  <c r="W10" i="36"/>
  <c r="W11" i="36"/>
  <c r="W12" i="36"/>
  <c r="W13" i="36"/>
  <c r="W14" i="36"/>
  <c r="W15" i="36"/>
  <c r="W16" i="36"/>
  <c r="W17" i="36"/>
  <c r="W18" i="36"/>
  <c r="W19" i="36"/>
  <c r="W20" i="36"/>
  <c r="W21" i="36"/>
  <c r="W22" i="36"/>
  <c r="W23" i="36"/>
  <c r="W4" i="36"/>
  <c r="O5" i="15"/>
  <c r="Q5" i="15" s="1"/>
  <c r="R5" i="15" s="1"/>
  <c r="O7" i="15"/>
  <c r="O6" i="15"/>
  <c r="O9" i="15"/>
  <c r="O8" i="15"/>
  <c r="O13" i="15"/>
  <c r="O11" i="15"/>
  <c r="O10" i="15"/>
  <c r="Q9" i="15" s="1"/>
  <c r="R9" i="15" s="1"/>
  <c r="O14" i="15"/>
  <c r="O12" i="15"/>
  <c r="O15" i="15"/>
  <c r="O16" i="15"/>
  <c r="Q16" i="15" s="1"/>
  <c r="R16" i="15" s="1"/>
  <c r="O17" i="15"/>
  <c r="Q17" i="15" s="1"/>
  <c r="R17" i="15" s="1"/>
  <c r="O18" i="15"/>
  <c r="Q18" i="15" s="1"/>
  <c r="R18" i="15" s="1"/>
  <c r="O19" i="15"/>
  <c r="Q19" i="15" s="1"/>
  <c r="R19" i="15" s="1"/>
  <c r="O20" i="15"/>
  <c r="Q20" i="15" s="1"/>
  <c r="R20" i="15" s="1"/>
  <c r="O21" i="15"/>
  <c r="O22" i="15"/>
  <c r="Q22" i="15" s="1"/>
  <c r="R22" i="15" s="1"/>
  <c r="O23" i="15"/>
  <c r="O4" i="15"/>
  <c r="K7" i="15"/>
  <c r="K5" i="15"/>
  <c r="K6" i="15"/>
  <c r="K9" i="15"/>
  <c r="K8" i="15"/>
  <c r="K13" i="15"/>
  <c r="K11" i="15"/>
  <c r="K10" i="15"/>
  <c r="K14" i="15"/>
  <c r="K12" i="15"/>
  <c r="K15" i="15"/>
  <c r="K16" i="15"/>
  <c r="K17" i="15"/>
  <c r="K18" i="15"/>
  <c r="K19" i="15"/>
  <c r="K20" i="15"/>
  <c r="K21" i="15"/>
  <c r="K22" i="15"/>
  <c r="K23" i="15"/>
  <c r="K4" i="15"/>
  <c r="D15" i="3" s="1"/>
  <c r="T4" i="15"/>
  <c r="T23" i="15"/>
  <c r="Q23" i="15"/>
  <c r="R23" i="15" s="1"/>
  <c r="T22" i="15"/>
  <c r="T21" i="15"/>
  <c r="Q21" i="15"/>
  <c r="R21" i="15" s="1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Q6" i="15"/>
  <c r="R6" i="15" s="1"/>
  <c r="T5" i="15"/>
  <c r="Q10" i="14"/>
  <c r="Q16" i="14"/>
  <c r="V5" i="14"/>
  <c r="V4" i="14"/>
  <c r="B34" i="14"/>
  <c r="B33" i="14"/>
  <c r="Q5" i="14"/>
  <c r="Q7" i="14"/>
  <c r="Q9" i="14"/>
  <c r="Q6" i="14"/>
  <c r="Q17" i="14"/>
  <c r="Q12" i="14"/>
  <c r="Q13" i="14"/>
  <c r="Q8" i="14"/>
  <c r="S11" i="14" s="1"/>
  <c r="T11" i="14" s="1"/>
  <c r="Q18" i="14"/>
  <c r="S14" i="14" s="1"/>
  <c r="T14" i="14" s="1"/>
  <c r="Q19" i="14"/>
  <c r="Q11" i="14"/>
  <c r="Q20" i="14"/>
  <c r="Q14" i="14"/>
  <c r="Q15" i="14"/>
  <c r="Q21" i="14"/>
  <c r="S21" i="14" s="1"/>
  <c r="Q22" i="14"/>
  <c r="S22" i="14" s="1"/>
  <c r="T22" i="14" s="1"/>
  <c r="Q23" i="14"/>
  <c r="V23" i="14"/>
  <c r="Q4" i="14"/>
  <c r="V22" i="14"/>
  <c r="V21" i="14"/>
  <c r="V20" i="14"/>
  <c r="V19" i="14"/>
  <c r="V18" i="14"/>
  <c r="V17" i="14"/>
  <c r="V16" i="14"/>
  <c r="V15" i="14"/>
  <c r="V14" i="14"/>
  <c r="V13" i="14"/>
  <c r="S13" i="14"/>
  <c r="T13" i="14" s="1"/>
  <c r="V12" i="14"/>
  <c r="V11" i="14"/>
  <c r="V10" i="14"/>
  <c r="V9" i="14"/>
  <c r="V8" i="14"/>
  <c r="V7" i="14"/>
  <c r="V6" i="14"/>
  <c r="M5" i="14"/>
  <c r="M7" i="14"/>
  <c r="M9" i="14"/>
  <c r="M6" i="14"/>
  <c r="M17" i="14"/>
  <c r="M12" i="14"/>
  <c r="M10" i="14"/>
  <c r="M13" i="14"/>
  <c r="M8" i="14"/>
  <c r="M18" i="14"/>
  <c r="M19" i="14"/>
  <c r="M11" i="14"/>
  <c r="M20" i="14"/>
  <c r="M16" i="14"/>
  <c r="M14" i="14"/>
  <c r="M15" i="14"/>
  <c r="M21" i="14"/>
  <c r="M22" i="14"/>
  <c r="M23" i="14"/>
  <c r="B32" i="14" s="1"/>
  <c r="M4" i="14"/>
  <c r="D14" i="3" s="1"/>
  <c r="B13" i="3"/>
  <c r="P10" i="13"/>
  <c r="P22" i="13"/>
  <c r="P6" i="13"/>
  <c r="P5" i="13"/>
  <c r="P4" i="13"/>
  <c r="R4" i="13" s="1"/>
  <c r="S4" i="13" s="1"/>
  <c r="L5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4" i="13"/>
  <c r="P19" i="13"/>
  <c r="P7" i="13"/>
  <c r="R8" i="13"/>
  <c r="S8" i="13" s="1"/>
  <c r="P8" i="13"/>
  <c r="R9" i="13" s="1"/>
  <c r="S9" i="13" s="1"/>
  <c r="P13" i="13"/>
  <c r="P16" i="13"/>
  <c r="P17" i="13"/>
  <c r="R17" i="13" s="1"/>
  <c r="S17" i="13" s="1"/>
  <c r="P18" i="13"/>
  <c r="P20" i="13"/>
  <c r="P21" i="13"/>
  <c r="R20" i="13" s="1"/>
  <c r="S20" i="13" s="1"/>
  <c r="R16" i="13"/>
  <c r="S16" i="13" s="1"/>
  <c r="R13" i="13"/>
  <c r="S13" i="13" s="1"/>
  <c r="R22" i="13"/>
  <c r="S22" i="13" s="1"/>
  <c r="R21" i="13"/>
  <c r="S21" i="13" s="1"/>
  <c r="R19" i="13"/>
  <c r="S19" i="13" s="1"/>
  <c r="R15" i="13"/>
  <c r="S15" i="13" s="1"/>
  <c r="R14" i="13"/>
  <c r="S14" i="13" s="1"/>
  <c r="R12" i="13"/>
  <c r="S12" i="13" s="1"/>
  <c r="R6" i="13"/>
  <c r="S6" i="13" s="1"/>
  <c r="B12" i="3"/>
  <c r="D12" i="3"/>
  <c r="C12" i="3"/>
  <c r="B36" i="12"/>
  <c r="B35" i="12"/>
  <c r="B34" i="12"/>
  <c r="B33" i="12"/>
  <c r="B32" i="12"/>
  <c r="N7" i="12"/>
  <c r="N14" i="12"/>
  <c r="N5" i="12"/>
  <c r="N6" i="12"/>
  <c r="N8" i="12"/>
  <c r="N11" i="12"/>
  <c r="N12" i="12"/>
  <c r="N13" i="12"/>
  <c r="N15" i="12"/>
  <c r="N16" i="12"/>
  <c r="N10" i="12"/>
  <c r="N17" i="12"/>
  <c r="N18" i="12"/>
  <c r="N19" i="12"/>
  <c r="N9" i="12"/>
  <c r="N20" i="12"/>
  <c r="N21" i="12"/>
  <c r="N22" i="12"/>
  <c r="N23" i="12"/>
  <c r="N24" i="12"/>
  <c r="N4" i="12"/>
  <c r="Q4" i="12"/>
  <c r="R4" i="12" s="1"/>
  <c r="L4" i="10"/>
  <c r="O25" i="12"/>
  <c r="P7" i="12" s="1"/>
  <c r="Q21" i="17" l="1"/>
  <c r="S10" i="17"/>
  <c r="T10" i="17" s="1"/>
  <c r="B30" i="17"/>
  <c r="B32" i="17"/>
  <c r="B29" i="17"/>
  <c r="B28" i="17"/>
  <c r="B26" i="17"/>
  <c r="B27" i="17"/>
  <c r="B25" i="17"/>
  <c r="S7" i="17"/>
  <c r="T7" i="17" s="1"/>
  <c r="S11" i="17"/>
  <c r="T11" i="17" s="1"/>
  <c r="S15" i="17"/>
  <c r="T15" i="17" s="1"/>
  <c r="S19" i="17"/>
  <c r="T19" i="17" s="1"/>
  <c r="S8" i="17"/>
  <c r="T8" i="17" s="1"/>
  <c r="S12" i="17"/>
  <c r="T12" i="17" s="1"/>
  <c r="S16" i="17"/>
  <c r="T16" i="17" s="1"/>
  <c r="S20" i="17"/>
  <c r="T20" i="17" s="1"/>
  <c r="R4" i="17"/>
  <c r="S5" i="17"/>
  <c r="T5" i="17" s="1"/>
  <c r="S9" i="17"/>
  <c r="T9" i="17" s="1"/>
  <c r="S13" i="17"/>
  <c r="T13" i="17" s="1"/>
  <c r="S17" i="17"/>
  <c r="T17" i="17" s="1"/>
  <c r="R19" i="16"/>
  <c r="S19" i="16" s="1"/>
  <c r="R9" i="16"/>
  <c r="S9" i="16" s="1"/>
  <c r="R11" i="16"/>
  <c r="S11" i="16" s="1"/>
  <c r="R15" i="16"/>
  <c r="S15" i="16" s="1"/>
  <c r="R17" i="16"/>
  <c r="S17" i="16" s="1"/>
  <c r="R20" i="16"/>
  <c r="S20" i="16" s="1"/>
  <c r="B27" i="16"/>
  <c r="B28" i="16"/>
  <c r="B33" i="16"/>
  <c r="B29" i="16"/>
  <c r="B30" i="16"/>
  <c r="R13" i="16"/>
  <c r="S13" i="16" s="1"/>
  <c r="R6" i="16"/>
  <c r="S6" i="16" s="1"/>
  <c r="R8" i="16"/>
  <c r="S8" i="16" s="1"/>
  <c r="Q8" i="16"/>
  <c r="R4" i="16"/>
  <c r="S4" i="16" s="1"/>
  <c r="Q9" i="16"/>
  <c r="Q7" i="16"/>
  <c r="Q12" i="16"/>
  <c r="Q11" i="15"/>
  <c r="R11" i="15" s="1"/>
  <c r="B29" i="15"/>
  <c r="O24" i="15"/>
  <c r="P4" i="15" s="1"/>
  <c r="Q7" i="15"/>
  <c r="R7" i="15" s="1"/>
  <c r="AA29" i="36"/>
  <c r="AA24" i="36"/>
  <c r="AA26" i="36"/>
  <c r="AA28" i="36"/>
  <c r="AA25" i="36"/>
  <c r="AA27" i="36"/>
  <c r="AA23" i="36"/>
  <c r="AA19" i="36"/>
  <c r="AA7" i="36"/>
  <c r="AA13" i="36"/>
  <c r="AA22" i="36"/>
  <c r="AA16" i="36"/>
  <c r="AA5" i="36"/>
  <c r="AA15" i="36"/>
  <c r="AA11" i="36"/>
  <c r="AA18" i="36"/>
  <c r="AA8" i="36"/>
  <c r="AA17" i="36"/>
  <c r="AA12" i="36"/>
  <c r="AA6" i="36"/>
  <c r="AA21" i="36"/>
  <c r="AA10" i="36"/>
  <c r="AA20" i="36"/>
  <c r="AA14" i="36"/>
  <c r="AA9" i="36"/>
  <c r="Q13" i="15"/>
  <c r="R13" i="15" s="1"/>
  <c r="Q15" i="15"/>
  <c r="R15" i="15" s="1"/>
  <c r="Q10" i="15"/>
  <c r="R10" i="15" s="1"/>
  <c r="Q8" i="15"/>
  <c r="R8" i="15" s="1"/>
  <c r="Q12" i="15"/>
  <c r="R12" i="15" s="1"/>
  <c r="Q14" i="15"/>
  <c r="R14" i="15" s="1"/>
  <c r="B34" i="15"/>
  <c r="B33" i="15"/>
  <c r="B32" i="15"/>
  <c r="B31" i="15"/>
  <c r="B30" i="15"/>
  <c r="P7" i="15"/>
  <c r="Q4" i="15"/>
  <c r="R4" i="15" s="1"/>
  <c r="S18" i="14"/>
  <c r="T18" i="14" s="1"/>
  <c r="S9" i="14"/>
  <c r="T9" i="14" s="1"/>
  <c r="S4" i="14"/>
  <c r="T4" i="14" s="1"/>
  <c r="S17" i="14"/>
  <c r="T17" i="14" s="1"/>
  <c r="S8" i="14"/>
  <c r="T8" i="14" s="1"/>
  <c r="S15" i="14"/>
  <c r="T15" i="14" s="1"/>
  <c r="S19" i="14"/>
  <c r="T19" i="14" s="1"/>
  <c r="B31" i="14"/>
  <c r="B29" i="14"/>
  <c r="S16" i="14"/>
  <c r="T16" i="14" s="1"/>
  <c r="B30" i="14"/>
  <c r="S10" i="14"/>
  <c r="T10" i="14" s="1"/>
  <c r="S6" i="14"/>
  <c r="T6" i="14" s="1"/>
  <c r="Q24" i="14"/>
  <c r="R5" i="14" s="1"/>
  <c r="S23" i="14"/>
  <c r="T23" i="14" s="1"/>
  <c r="S12" i="14"/>
  <c r="T12" i="14" s="1"/>
  <c r="S20" i="14"/>
  <c r="T20" i="14" s="1"/>
  <c r="T21" i="14"/>
  <c r="R10" i="13"/>
  <c r="S10" i="13" s="1"/>
  <c r="S5" i="14"/>
  <c r="S7" i="14"/>
  <c r="R11" i="13"/>
  <c r="S11" i="13" s="1"/>
  <c r="R5" i="13"/>
  <c r="S5" i="13" s="1"/>
  <c r="R7" i="13"/>
  <c r="S7" i="13" s="1"/>
  <c r="R18" i="13"/>
  <c r="S18" i="13" s="1"/>
  <c r="B31" i="12"/>
  <c r="P18" i="12"/>
  <c r="P24" i="12"/>
  <c r="P13" i="12"/>
  <c r="P8" i="12"/>
  <c r="P17" i="12"/>
  <c r="P12" i="12"/>
  <c r="P21" i="12"/>
  <c r="P16" i="12"/>
  <c r="P10" i="12"/>
  <c r="P5" i="12"/>
  <c r="P22" i="12"/>
  <c r="P6" i="12"/>
  <c r="P4" i="12"/>
  <c r="P20" i="12"/>
  <c r="P14" i="12"/>
  <c r="P9" i="12"/>
  <c r="P23" i="12"/>
  <c r="P19" i="12"/>
  <c r="P15" i="12"/>
  <c r="P11" i="12"/>
  <c r="U18" i="17" l="1"/>
  <c r="U11" i="17"/>
  <c r="U17" i="17"/>
  <c r="U8" i="17"/>
  <c r="U7" i="17"/>
  <c r="U9" i="17"/>
  <c r="U16" i="17"/>
  <c r="U15" i="17"/>
  <c r="U14" i="17"/>
  <c r="U5" i="17"/>
  <c r="U12" i="17"/>
  <c r="U10" i="17"/>
  <c r="U13" i="17"/>
  <c r="U20" i="17"/>
  <c r="U19" i="17"/>
  <c r="U6" i="17"/>
  <c r="R11" i="17"/>
  <c r="R15" i="17"/>
  <c r="U4" i="17"/>
  <c r="R7" i="17"/>
  <c r="R6" i="17"/>
  <c r="R10" i="17"/>
  <c r="R14" i="17"/>
  <c r="R18" i="17"/>
  <c r="R8" i="17"/>
  <c r="R12" i="17"/>
  <c r="R16" i="17"/>
  <c r="R20" i="17"/>
  <c r="R19" i="17"/>
  <c r="R13" i="17"/>
  <c r="R17" i="17"/>
  <c r="R5" i="17"/>
  <c r="R9" i="17"/>
  <c r="Q18" i="16"/>
  <c r="Q15" i="16"/>
  <c r="Q13" i="16"/>
  <c r="Q6" i="16"/>
  <c r="Q20" i="16"/>
  <c r="Q23" i="16"/>
  <c r="Q17" i="16"/>
  <c r="Q10" i="16"/>
  <c r="Q11" i="16"/>
  <c r="Q16" i="16"/>
  <c r="Q22" i="16"/>
  <c r="Q4" i="16"/>
  <c r="Q5" i="16"/>
  <c r="Q21" i="16"/>
  <c r="Q14" i="16"/>
  <c r="Q19" i="16"/>
  <c r="T21" i="16"/>
  <c r="T18" i="16"/>
  <c r="T14" i="16"/>
  <c r="T12" i="16"/>
  <c r="T16" i="16"/>
  <c r="T5" i="16"/>
  <c r="T4" i="16"/>
  <c r="T20" i="16"/>
  <c r="T13" i="16"/>
  <c r="T6" i="16"/>
  <c r="T11" i="16"/>
  <c r="T19" i="16"/>
  <c r="T7" i="16"/>
  <c r="T23" i="16"/>
  <c r="T22" i="16"/>
  <c r="T17" i="16"/>
  <c r="T10" i="16"/>
  <c r="T8" i="16"/>
  <c r="T15" i="16"/>
  <c r="T9" i="16"/>
  <c r="AA4" i="36"/>
  <c r="P10" i="15"/>
  <c r="P16" i="15"/>
  <c r="P6" i="15"/>
  <c r="P12" i="15"/>
  <c r="P22" i="15"/>
  <c r="P13" i="15"/>
  <c r="P19" i="15"/>
  <c r="P18" i="15"/>
  <c r="P9" i="15"/>
  <c r="P15" i="15"/>
  <c r="P21" i="15"/>
  <c r="P5" i="15"/>
  <c r="P8" i="15"/>
  <c r="P11" i="15"/>
  <c r="P14" i="15"/>
  <c r="P17" i="15"/>
  <c r="P20" i="15"/>
  <c r="P23" i="15"/>
  <c r="S9" i="15"/>
  <c r="S17" i="15"/>
  <c r="S11" i="15"/>
  <c r="S19" i="15"/>
  <c r="S12" i="15"/>
  <c r="S20" i="15"/>
  <c r="S4" i="15"/>
  <c r="S8" i="15"/>
  <c r="S21" i="15"/>
  <c r="S23" i="15"/>
  <c r="S7" i="15"/>
  <c r="S15" i="15"/>
  <c r="S14" i="15"/>
  <c r="S16" i="15"/>
  <c r="S6" i="15"/>
  <c r="S10" i="15"/>
  <c r="S5" i="15"/>
  <c r="S13" i="15"/>
  <c r="S18" i="15"/>
  <c r="S22" i="15"/>
  <c r="R17" i="14"/>
  <c r="R4" i="14"/>
  <c r="R18" i="14"/>
  <c r="R11" i="14"/>
  <c r="R22" i="14"/>
  <c r="R7" i="14"/>
  <c r="R9" i="14"/>
  <c r="R6" i="14"/>
  <c r="R12" i="14"/>
  <c r="R13" i="14"/>
  <c r="R10" i="14"/>
  <c r="R16" i="14"/>
  <c r="R20" i="14"/>
  <c r="R21" i="14"/>
  <c r="R14" i="14"/>
  <c r="R8" i="14"/>
  <c r="R19" i="14"/>
  <c r="R15" i="14"/>
  <c r="R23" i="14"/>
  <c r="T5" i="14"/>
  <c r="T7" i="14"/>
  <c r="T14" i="13"/>
  <c r="T8" i="13"/>
  <c r="T22" i="13"/>
  <c r="T11" i="13"/>
  <c r="T19" i="13"/>
  <c r="T21" i="13"/>
  <c r="T12" i="13"/>
  <c r="T17" i="13"/>
  <c r="T10" i="13"/>
  <c r="T16" i="13"/>
  <c r="T7" i="13"/>
  <c r="T15" i="13"/>
  <c r="T5" i="13"/>
  <c r="T18" i="13"/>
  <c r="T6" i="13"/>
  <c r="T9" i="13"/>
  <c r="T4" i="13"/>
  <c r="T20" i="13"/>
  <c r="T13" i="13"/>
  <c r="U6" i="14" l="1"/>
  <c r="U21" i="14"/>
  <c r="U5" i="14"/>
  <c r="U18" i="14"/>
  <c r="U22" i="14"/>
  <c r="U11" i="14"/>
  <c r="U12" i="14"/>
  <c r="U9" i="14"/>
  <c r="U23" i="14"/>
  <c r="U8" i="14"/>
  <c r="U16" i="14"/>
  <c r="U13" i="14"/>
  <c r="U10" i="14"/>
  <c r="U20" i="14"/>
  <c r="U4" i="14"/>
  <c r="U14" i="14"/>
  <c r="U15" i="14"/>
  <c r="U19" i="14"/>
  <c r="U7" i="14"/>
  <c r="U17" i="14"/>
  <c r="T24" i="12" l="1"/>
  <c r="Q24" i="12"/>
  <c r="R24" i="12" s="1"/>
  <c r="T23" i="12"/>
  <c r="Q23" i="12"/>
  <c r="R23" i="12" s="1"/>
  <c r="T22" i="12"/>
  <c r="Q22" i="12"/>
  <c r="R22" i="12" s="1"/>
  <c r="T21" i="12"/>
  <c r="Q21" i="12"/>
  <c r="R21" i="12" s="1"/>
  <c r="T20" i="12"/>
  <c r="Q20" i="12"/>
  <c r="R20" i="12" s="1"/>
  <c r="T19" i="12"/>
  <c r="Q19" i="12"/>
  <c r="R19" i="12" s="1"/>
  <c r="T18" i="12"/>
  <c r="Q18" i="12"/>
  <c r="R18" i="12" s="1"/>
  <c r="T17" i="12"/>
  <c r="Q17" i="12"/>
  <c r="R17" i="12" s="1"/>
  <c r="T16" i="12"/>
  <c r="Q16" i="12"/>
  <c r="R16" i="12" s="1"/>
  <c r="T15" i="12"/>
  <c r="Q15" i="12"/>
  <c r="R15" i="12" s="1"/>
  <c r="T14" i="12"/>
  <c r="Q14" i="12"/>
  <c r="R14" i="12" s="1"/>
  <c r="T13" i="12"/>
  <c r="Q13" i="12"/>
  <c r="R13" i="12" s="1"/>
  <c r="T12" i="12"/>
  <c r="Q12" i="12"/>
  <c r="R12" i="12" s="1"/>
  <c r="T11" i="12"/>
  <c r="Q11" i="12"/>
  <c r="R11" i="12" s="1"/>
  <c r="T10" i="12"/>
  <c r="Q10" i="12"/>
  <c r="R10" i="12" s="1"/>
  <c r="T9" i="12"/>
  <c r="Q9" i="12"/>
  <c r="R9" i="12" s="1"/>
  <c r="T8" i="12"/>
  <c r="Q8" i="12"/>
  <c r="R8" i="12" s="1"/>
  <c r="T7" i="12"/>
  <c r="Q7" i="12"/>
  <c r="R7" i="12" s="1"/>
  <c r="T6" i="12"/>
  <c r="Q6" i="12"/>
  <c r="R6" i="12" s="1"/>
  <c r="T5" i="12"/>
  <c r="Q5" i="12"/>
  <c r="R5" i="12" s="1"/>
  <c r="T4" i="12"/>
  <c r="B11" i="3"/>
  <c r="J6" i="11"/>
  <c r="J10" i="11"/>
  <c r="J5" i="11"/>
  <c r="J8" i="11"/>
  <c r="J18" i="11"/>
  <c r="J16" i="11"/>
  <c r="J9" i="11"/>
  <c r="J12" i="11"/>
  <c r="J11" i="11"/>
  <c r="J7" i="11"/>
  <c r="J19" i="11"/>
  <c r="J20" i="11"/>
  <c r="J13" i="11"/>
  <c r="J21" i="11"/>
  <c r="J14" i="11"/>
  <c r="J15" i="11"/>
  <c r="J17" i="11"/>
  <c r="J22" i="11"/>
  <c r="J23" i="11"/>
  <c r="J24" i="11"/>
  <c r="J25" i="11"/>
  <c r="J26" i="11"/>
  <c r="J27" i="11"/>
  <c r="J28" i="11"/>
  <c r="J29" i="11"/>
  <c r="J4" i="11"/>
  <c r="D11" i="3" s="1"/>
  <c r="P4" i="10"/>
  <c r="P29" i="11"/>
  <c r="M29" i="11"/>
  <c r="N29" i="11" s="1"/>
  <c r="L29" i="11"/>
  <c r="P28" i="11"/>
  <c r="M28" i="11"/>
  <c r="N28" i="11" s="1"/>
  <c r="L28" i="11"/>
  <c r="P27" i="11"/>
  <c r="M27" i="11"/>
  <c r="N27" i="11" s="1"/>
  <c r="L27" i="11"/>
  <c r="P26" i="11"/>
  <c r="M26" i="11"/>
  <c r="N26" i="11" s="1"/>
  <c r="L26" i="11"/>
  <c r="P25" i="11"/>
  <c r="M25" i="11"/>
  <c r="N25" i="11" s="1"/>
  <c r="L25" i="11"/>
  <c r="P24" i="11"/>
  <c r="M24" i="11"/>
  <c r="N24" i="11" s="1"/>
  <c r="L24" i="11"/>
  <c r="P23" i="11"/>
  <c r="M23" i="11"/>
  <c r="N23" i="11" s="1"/>
  <c r="L23" i="11"/>
  <c r="P22" i="11"/>
  <c r="M22" i="11"/>
  <c r="N22" i="11" s="1"/>
  <c r="L22" i="11"/>
  <c r="P21" i="11"/>
  <c r="M21" i="11"/>
  <c r="N21" i="11" s="1"/>
  <c r="L21" i="11"/>
  <c r="P20" i="11"/>
  <c r="M20" i="11"/>
  <c r="N20" i="11" s="1"/>
  <c r="L20" i="11"/>
  <c r="P19" i="11"/>
  <c r="M19" i="11"/>
  <c r="N19" i="11" s="1"/>
  <c r="L19" i="11"/>
  <c r="P18" i="11"/>
  <c r="M18" i="11"/>
  <c r="N18" i="11" s="1"/>
  <c r="L18" i="11"/>
  <c r="P17" i="11"/>
  <c r="M17" i="11"/>
  <c r="N17" i="11" s="1"/>
  <c r="L17" i="11"/>
  <c r="P16" i="11"/>
  <c r="M16" i="11"/>
  <c r="N16" i="11" s="1"/>
  <c r="L16" i="11"/>
  <c r="P15" i="11"/>
  <c r="M15" i="11"/>
  <c r="N15" i="11" s="1"/>
  <c r="L15" i="11"/>
  <c r="P14" i="11"/>
  <c r="M14" i="11"/>
  <c r="N14" i="11" s="1"/>
  <c r="L14" i="11"/>
  <c r="P13" i="11"/>
  <c r="M13" i="11"/>
  <c r="N13" i="11" s="1"/>
  <c r="L13" i="11"/>
  <c r="P12" i="11"/>
  <c r="M12" i="11"/>
  <c r="N12" i="11" s="1"/>
  <c r="L12" i="11"/>
  <c r="P11" i="11"/>
  <c r="M11" i="11"/>
  <c r="N11" i="11" s="1"/>
  <c r="L11" i="11"/>
  <c r="P10" i="11"/>
  <c r="M10" i="11"/>
  <c r="N10" i="11" s="1"/>
  <c r="L10" i="11"/>
  <c r="P9" i="11"/>
  <c r="M9" i="11"/>
  <c r="N9" i="11" s="1"/>
  <c r="L9" i="11"/>
  <c r="P8" i="11"/>
  <c r="M8" i="11"/>
  <c r="N8" i="11" s="1"/>
  <c r="L8" i="11"/>
  <c r="P7" i="11"/>
  <c r="M7" i="11"/>
  <c r="N7" i="11" s="1"/>
  <c r="L7" i="11"/>
  <c r="P6" i="11"/>
  <c r="M6" i="11"/>
  <c r="N6" i="11" s="1"/>
  <c r="L6" i="11"/>
  <c r="P5" i="11"/>
  <c r="M5" i="11"/>
  <c r="N5" i="11" s="1"/>
  <c r="L5" i="11"/>
  <c r="P4" i="11"/>
  <c r="M4" i="11"/>
  <c r="N4" i="11" s="1"/>
  <c r="L4" i="11"/>
  <c r="B10" i="3"/>
  <c r="P30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J30" i="10"/>
  <c r="K31" i="10"/>
  <c r="M30" i="10"/>
  <c r="N30" i="10" s="1"/>
  <c r="J5" i="10"/>
  <c r="J9" i="10"/>
  <c r="J6" i="10"/>
  <c r="J10" i="10"/>
  <c r="J8" i="10"/>
  <c r="J12" i="10"/>
  <c r="J16" i="10"/>
  <c r="J17" i="10"/>
  <c r="J18" i="10"/>
  <c r="J19" i="10"/>
  <c r="J11" i="10"/>
  <c r="J13" i="10"/>
  <c r="J20" i="10"/>
  <c r="J21" i="10"/>
  <c r="J14" i="10"/>
  <c r="J22" i="10"/>
  <c r="J23" i="10"/>
  <c r="J24" i="10"/>
  <c r="J7" i="10"/>
  <c r="J25" i="10"/>
  <c r="J26" i="10"/>
  <c r="J27" i="10"/>
  <c r="J15" i="10"/>
  <c r="J28" i="10"/>
  <c r="J29" i="10"/>
  <c r="J4" i="10"/>
  <c r="D10" i="3" s="1"/>
  <c r="P29" i="10"/>
  <c r="M29" i="10"/>
  <c r="N29" i="10" s="1"/>
  <c r="P28" i="10"/>
  <c r="M28" i="10"/>
  <c r="N28" i="10" s="1"/>
  <c r="P27" i="10"/>
  <c r="M27" i="10"/>
  <c r="N27" i="10" s="1"/>
  <c r="P26" i="10"/>
  <c r="M26" i="10"/>
  <c r="N26" i="10" s="1"/>
  <c r="P25" i="10"/>
  <c r="M25" i="10"/>
  <c r="N25" i="10" s="1"/>
  <c r="P24" i="10"/>
  <c r="M24" i="10"/>
  <c r="N24" i="10" s="1"/>
  <c r="P23" i="10"/>
  <c r="M23" i="10"/>
  <c r="N23" i="10" s="1"/>
  <c r="P22" i="10"/>
  <c r="M22" i="10"/>
  <c r="N22" i="10" s="1"/>
  <c r="P21" i="10"/>
  <c r="M21" i="10"/>
  <c r="N21" i="10" s="1"/>
  <c r="P20" i="10"/>
  <c r="M20" i="10"/>
  <c r="N20" i="10" s="1"/>
  <c r="P19" i="10"/>
  <c r="M19" i="10"/>
  <c r="N19" i="10" s="1"/>
  <c r="P18" i="10"/>
  <c r="M18" i="10"/>
  <c r="N18" i="10" s="1"/>
  <c r="P17" i="10"/>
  <c r="M17" i="10"/>
  <c r="N17" i="10" s="1"/>
  <c r="P16" i="10"/>
  <c r="M16" i="10"/>
  <c r="N16" i="10" s="1"/>
  <c r="P15" i="10"/>
  <c r="M15" i="10"/>
  <c r="N15" i="10" s="1"/>
  <c r="P14" i="10"/>
  <c r="M14" i="10"/>
  <c r="N14" i="10" s="1"/>
  <c r="P13" i="10"/>
  <c r="M13" i="10"/>
  <c r="N13" i="10" s="1"/>
  <c r="P12" i="10"/>
  <c r="M12" i="10"/>
  <c r="N12" i="10" s="1"/>
  <c r="P11" i="10"/>
  <c r="M11" i="10"/>
  <c r="N11" i="10" s="1"/>
  <c r="P10" i="10"/>
  <c r="M10" i="10"/>
  <c r="N10" i="10" s="1"/>
  <c r="P9" i="10"/>
  <c r="M9" i="10"/>
  <c r="N9" i="10" s="1"/>
  <c r="P8" i="10"/>
  <c r="M8" i="10"/>
  <c r="N8" i="10" s="1"/>
  <c r="P7" i="10"/>
  <c r="M7" i="10"/>
  <c r="N7" i="10" s="1"/>
  <c r="P6" i="10"/>
  <c r="M6" i="10"/>
  <c r="N6" i="10" s="1"/>
  <c r="P5" i="10"/>
  <c r="M5" i="10"/>
  <c r="N5" i="10" s="1"/>
  <c r="L5" i="10"/>
  <c r="M4" i="10"/>
  <c r="N4" i="10" s="1"/>
  <c r="B9" i="3"/>
  <c r="L5" i="9"/>
  <c r="M5" i="9" s="1"/>
  <c r="L6" i="9"/>
  <c r="M6" i="9" s="1"/>
  <c r="L7" i="9"/>
  <c r="M7" i="9" s="1"/>
  <c r="L8" i="9"/>
  <c r="M8" i="9" s="1"/>
  <c r="L9" i="9"/>
  <c r="M9" i="9" s="1"/>
  <c r="L10" i="9"/>
  <c r="M10" i="9" s="1"/>
  <c r="L11" i="9"/>
  <c r="M11" i="9" s="1"/>
  <c r="L12" i="9"/>
  <c r="M12" i="9" s="1"/>
  <c r="L13" i="9"/>
  <c r="M13" i="9" s="1"/>
  <c r="L14" i="9"/>
  <c r="M14" i="9" s="1"/>
  <c r="L15" i="9"/>
  <c r="M15" i="9" s="1"/>
  <c r="L16" i="9"/>
  <c r="M16" i="9" s="1"/>
  <c r="L17" i="9"/>
  <c r="M17" i="9" s="1"/>
  <c r="L18" i="9"/>
  <c r="M18" i="9" s="1"/>
  <c r="L19" i="9"/>
  <c r="M19" i="9" s="1"/>
  <c r="L20" i="9"/>
  <c r="M20" i="9" s="1"/>
  <c r="L21" i="9"/>
  <c r="M21" i="9" s="1"/>
  <c r="L22" i="9"/>
  <c r="M22" i="9" s="1"/>
  <c r="L23" i="9"/>
  <c r="M23" i="9" s="1"/>
  <c r="L24" i="9"/>
  <c r="M24" i="9" s="1"/>
  <c r="L25" i="9"/>
  <c r="M25" i="9" s="1"/>
  <c r="L26" i="9"/>
  <c r="M26" i="9" s="1"/>
  <c r="L27" i="9"/>
  <c r="M27" i="9" s="1"/>
  <c r="L28" i="9"/>
  <c r="M28" i="9" s="1"/>
  <c r="L29" i="9"/>
  <c r="M29" i="9" s="1"/>
  <c r="L4" i="9"/>
  <c r="M4" i="9" s="1"/>
  <c r="N4" i="8"/>
  <c r="O4" i="8" s="1"/>
  <c r="K8" i="9"/>
  <c r="J30" i="9"/>
  <c r="K5" i="9" s="1"/>
  <c r="M4" i="8"/>
  <c r="I16" i="9"/>
  <c r="I17" i="9"/>
  <c r="I29" i="9"/>
  <c r="I8" i="9"/>
  <c r="I5" i="9"/>
  <c r="I6" i="9"/>
  <c r="I15" i="9"/>
  <c r="I18" i="9"/>
  <c r="I9" i="9"/>
  <c r="I19" i="9"/>
  <c r="I20" i="9"/>
  <c r="I21" i="9"/>
  <c r="I22" i="9"/>
  <c r="I11" i="9"/>
  <c r="I12" i="9"/>
  <c r="I13" i="9"/>
  <c r="I23" i="9"/>
  <c r="I14" i="9"/>
  <c r="I10" i="9"/>
  <c r="I7" i="9"/>
  <c r="I24" i="9"/>
  <c r="I25" i="9"/>
  <c r="I26" i="9"/>
  <c r="I27" i="9"/>
  <c r="I28" i="9"/>
  <c r="I4" i="9"/>
  <c r="D9" i="3" s="1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B8" i="3"/>
  <c r="N23" i="8"/>
  <c r="O23" i="8" s="1"/>
  <c r="Q29" i="8"/>
  <c r="N29" i="8"/>
  <c r="O29" i="8" s="1"/>
  <c r="M29" i="8"/>
  <c r="K29" i="8"/>
  <c r="Q24" i="8"/>
  <c r="Q25" i="8"/>
  <c r="Q26" i="8"/>
  <c r="Q27" i="8"/>
  <c r="Q28" i="8"/>
  <c r="N24" i="8"/>
  <c r="O24" i="8" s="1"/>
  <c r="N25" i="8"/>
  <c r="O25" i="8" s="1"/>
  <c r="N26" i="8"/>
  <c r="O26" i="8" s="1"/>
  <c r="N27" i="8"/>
  <c r="O27" i="8" s="1"/>
  <c r="N28" i="8"/>
  <c r="O28" i="8" s="1"/>
  <c r="M24" i="8"/>
  <c r="M25" i="8"/>
  <c r="M26" i="8"/>
  <c r="M27" i="8"/>
  <c r="M28" i="8"/>
  <c r="K15" i="8"/>
  <c r="K5" i="8"/>
  <c r="K17" i="8"/>
  <c r="K18" i="8"/>
  <c r="K28" i="8"/>
  <c r="K11" i="8"/>
  <c r="K9" i="8"/>
  <c r="K16" i="8"/>
  <c r="K19" i="8"/>
  <c r="K10" i="8"/>
  <c r="K20" i="8"/>
  <c r="K6" i="8"/>
  <c r="K12" i="8"/>
  <c r="K14" i="8"/>
  <c r="K8" i="8"/>
  <c r="K13" i="8"/>
  <c r="K7" i="8"/>
  <c r="K21" i="8"/>
  <c r="K22" i="8"/>
  <c r="K23" i="8"/>
  <c r="K24" i="8"/>
  <c r="K25" i="8"/>
  <c r="K26" i="8"/>
  <c r="K27" i="8"/>
  <c r="Q23" i="8"/>
  <c r="M23" i="8"/>
  <c r="Q22" i="8"/>
  <c r="N22" i="8"/>
  <c r="O22" i="8" s="1"/>
  <c r="M22" i="8"/>
  <c r="Q21" i="8"/>
  <c r="N21" i="8"/>
  <c r="O21" i="8" s="1"/>
  <c r="M21" i="8"/>
  <c r="Q20" i="8"/>
  <c r="N20" i="8"/>
  <c r="O20" i="8" s="1"/>
  <c r="M20" i="8"/>
  <c r="Q19" i="8"/>
  <c r="N19" i="8"/>
  <c r="O19" i="8" s="1"/>
  <c r="M19" i="8"/>
  <c r="Q18" i="8"/>
  <c r="N18" i="8"/>
  <c r="O18" i="8" s="1"/>
  <c r="M18" i="8"/>
  <c r="Q17" i="8"/>
  <c r="N17" i="8"/>
  <c r="O17" i="8" s="1"/>
  <c r="M17" i="8"/>
  <c r="Q16" i="8"/>
  <c r="N16" i="8"/>
  <c r="O16" i="8" s="1"/>
  <c r="M16" i="8"/>
  <c r="Q15" i="8"/>
  <c r="N15" i="8"/>
  <c r="O15" i="8" s="1"/>
  <c r="M15" i="8"/>
  <c r="Q14" i="8"/>
  <c r="N14" i="8"/>
  <c r="O14" i="8" s="1"/>
  <c r="M14" i="8"/>
  <c r="Q13" i="8"/>
  <c r="N13" i="8"/>
  <c r="O13" i="8" s="1"/>
  <c r="M13" i="8"/>
  <c r="Q12" i="8"/>
  <c r="N12" i="8"/>
  <c r="O12" i="8" s="1"/>
  <c r="M12" i="8"/>
  <c r="Q11" i="8"/>
  <c r="N11" i="8"/>
  <c r="O11" i="8" s="1"/>
  <c r="M11" i="8"/>
  <c r="Q10" i="8"/>
  <c r="N10" i="8"/>
  <c r="O10" i="8" s="1"/>
  <c r="M10" i="8"/>
  <c r="Q9" i="8"/>
  <c r="N9" i="8"/>
  <c r="O9" i="8" s="1"/>
  <c r="M9" i="8"/>
  <c r="Q8" i="8"/>
  <c r="N8" i="8"/>
  <c r="O8" i="8" s="1"/>
  <c r="M8" i="8"/>
  <c r="Q7" i="8"/>
  <c r="N7" i="8"/>
  <c r="O7" i="8" s="1"/>
  <c r="M7" i="8"/>
  <c r="Q6" i="8"/>
  <c r="N6" i="8"/>
  <c r="O6" i="8" s="1"/>
  <c r="M6" i="8"/>
  <c r="Q5" i="8"/>
  <c r="N5" i="8"/>
  <c r="O5" i="8" s="1"/>
  <c r="M5" i="8"/>
  <c r="Q4" i="8"/>
  <c r="K4" i="8"/>
  <c r="D8" i="3" s="1"/>
  <c r="K5" i="7"/>
  <c r="K7" i="7"/>
  <c r="K8" i="7"/>
  <c r="K10" i="7"/>
  <c r="K16" i="7"/>
  <c r="K9" i="7"/>
  <c r="K15" i="7"/>
  <c r="K22" i="7"/>
  <c r="K11" i="7"/>
  <c r="K23" i="7"/>
  <c r="K13" i="7"/>
  <c r="K14" i="7"/>
  <c r="K17" i="7"/>
  <c r="K18" i="7"/>
  <c r="K12" i="7"/>
  <c r="K21" i="7"/>
  <c r="K19" i="7"/>
  <c r="K20" i="7"/>
  <c r="K6" i="7"/>
  <c r="K4" i="7"/>
  <c r="D7" i="3" s="1"/>
  <c r="B7" i="3"/>
  <c r="P23" i="6"/>
  <c r="M23" i="6"/>
  <c r="N23" i="6" s="1"/>
  <c r="J23" i="6"/>
  <c r="P22" i="6"/>
  <c r="M22" i="6"/>
  <c r="N22" i="6" s="1"/>
  <c r="J22" i="6"/>
  <c r="P21" i="6"/>
  <c r="M21" i="6"/>
  <c r="N21" i="6" s="1"/>
  <c r="J17" i="6"/>
  <c r="P20" i="6"/>
  <c r="M20" i="6"/>
  <c r="N20" i="6" s="1"/>
  <c r="J21" i="6"/>
  <c r="P19" i="6"/>
  <c r="M19" i="6"/>
  <c r="N19" i="6" s="1"/>
  <c r="J20" i="6"/>
  <c r="P18" i="6"/>
  <c r="M18" i="6"/>
  <c r="N18" i="6" s="1"/>
  <c r="J14" i="6"/>
  <c r="P17" i="6"/>
  <c r="M17" i="6"/>
  <c r="N17" i="6" s="1"/>
  <c r="J19" i="6"/>
  <c r="P16" i="6"/>
  <c r="M16" i="6"/>
  <c r="N16" i="6" s="1"/>
  <c r="J18" i="6"/>
  <c r="P15" i="6"/>
  <c r="M15" i="6"/>
  <c r="N15" i="6" s="1"/>
  <c r="J13" i="6"/>
  <c r="P14" i="6"/>
  <c r="M14" i="6"/>
  <c r="N14" i="6" s="1"/>
  <c r="J10" i="6"/>
  <c r="P13" i="6"/>
  <c r="M13" i="6"/>
  <c r="N13" i="6" s="1"/>
  <c r="J12" i="6"/>
  <c r="P12" i="6"/>
  <c r="M12" i="6"/>
  <c r="N12" i="6" s="1"/>
  <c r="J15" i="6"/>
  <c r="P11" i="6"/>
  <c r="M11" i="6"/>
  <c r="N11" i="6" s="1"/>
  <c r="J7" i="6"/>
  <c r="P10" i="6"/>
  <c r="M10" i="6"/>
  <c r="N10" i="6" s="1"/>
  <c r="J8" i="6"/>
  <c r="P9" i="6"/>
  <c r="M9" i="6"/>
  <c r="N9" i="6" s="1"/>
  <c r="J16" i="6"/>
  <c r="P8" i="6"/>
  <c r="M8" i="6"/>
  <c r="N8" i="6" s="1"/>
  <c r="J6" i="6"/>
  <c r="P7" i="6"/>
  <c r="M7" i="6"/>
  <c r="N7" i="6" s="1"/>
  <c r="J9" i="6"/>
  <c r="P6" i="6"/>
  <c r="M6" i="6"/>
  <c r="N6" i="6" s="1"/>
  <c r="J11" i="6"/>
  <c r="P5" i="6"/>
  <c r="M5" i="6"/>
  <c r="N5" i="6" s="1"/>
  <c r="J5" i="6"/>
  <c r="P4" i="6"/>
  <c r="M4" i="6"/>
  <c r="N4" i="6" s="1"/>
  <c r="J4" i="6"/>
  <c r="D6" i="3" s="1"/>
  <c r="L24" i="7"/>
  <c r="M5" i="7" s="1"/>
  <c r="Q23" i="7"/>
  <c r="N23" i="7"/>
  <c r="O23" i="7" s="1"/>
  <c r="Q22" i="7"/>
  <c r="N22" i="7"/>
  <c r="O22" i="7" s="1"/>
  <c r="Q21" i="7"/>
  <c r="N21" i="7"/>
  <c r="O21" i="7" s="1"/>
  <c r="Q20" i="7"/>
  <c r="N20" i="7"/>
  <c r="O20" i="7" s="1"/>
  <c r="Q19" i="7"/>
  <c r="N19" i="7"/>
  <c r="O19" i="7" s="1"/>
  <c r="Q18" i="7"/>
  <c r="N18" i="7"/>
  <c r="O18" i="7" s="1"/>
  <c r="Q17" i="7"/>
  <c r="N17" i="7"/>
  <c r="O17" i="7" s="1"/>
  <c r="Q16" i="7"/>
  <c r="N16" i="7"/>
  <c r="O16" i="7" s="1"/>
  <c r="Q15" i="7"/>
  <c r="N15" i="7"/>
  <c r="O15" i="7" s="1"/>
  <c r="Q14" i="7"/>
  <c r="N14" i="7"/>
  <c r="O14" i="7" s="1"/>
  <c r="Q13" i="7"/>
  <c r="N13" i="7"/>
  <c r="O13" i="7" s="1"/>
  <c r="Q12" i="7"/>
  <c r="N12" i="7"/>
  <c r="O12" i="7" s="1"/>
  <c r="Q11" i="7"/>
  <c r="N11" i="7"/>
  <c r="O11" i="7" s="1"/>
  <c r="Q10" i="7"/>
  <c r="N10" i="7"/>
  <c r="O10" i="7" s="1"/>
  <c r="Q9" i="7"/>
  <c r="N9" i="7"/>
  <c r="O9" i="7" s="1"/>
  <c r="Q8" i="7"/>
  <c r="N8" i="7"/>
  <c r="O8" i="7" s="1"/>
  <c r="Q7" i="7"/>
  <c r="N7" i="7"/>
  <c r="O7" i="7" s="1"/>
  <c r="Q6" i="7"/>
  <c r="N6" i="7"/>
  <c r="O6" i="7" s="1"/>
  <c r="Q5" i="7"/>
  <c r="N5" i="7"/>
  <c r="O5" i="7" s="1"/>
  <c r="Q4" i="7"/>
  <c r="N4" i="7"/>
  <c r="O4" i="7" s="1"/>
  <c r="B6" i="3"/>
  <c r="L4" i="5"/>
  <c r="K24" i="6"/>
  <c r="L23" i="6" s="1"/>
  <c r="B5" i="3"/>
  <c r="M4" i="5"/>
  <c r="N4" i="5" s="1"/>
  <c r="M5" i="5"/>
  <c r="N5" i="5" s="1"/>
  <c r="M6" i="5"/>
  <c r="N6" i="5" s="1"/>
  <c r="M7" i="5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L4" i="4"/>
  <c r="M4" i="4" s="1"/>
  <c r="K24" i="5"/>
  <c r="L5" i="5" s="1"/>
  <c r="K4" i="4"/>
  <c r="J4" i="5"/>
  <c r="B4" i="3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4" i="4"/>
  <c r="S7" i="12" l="1"/>
  <c r="S11" i="12"/>
  <c r="S19" i="12"/>
  <c r="S6" i="12"/>
  <c r="S10" i="12"/>
  <c r="S14" i="12"/>
  <c r="S18" i="12"/>
  <c r="S22" i="12"/>
  <c r="S15" i="12"/>
  <c r="S5" i="12"/>
  <c r="S9" i="12"/>
  <c r="S13" i="12"/>
  <c r="S17" i="12"/>
  <c r="S21" i="12"/>
  <c r="S23" i="12"/>
  <c r="S4" i="12"/>
  <c r="S8" i="12"/>
  <c r="S12" i="12"/>
  <c r="S16" i="12"/>
  <c r="S20" i="12"/>
  <c r="S24" i="12"/>
  <c r="O5" i="11"/>
  <c r="O4" i="11"/>
  <c r="O10" i="11"/>
  <c r="O11" i="11"/>
  <c r="O18" i="11"/>
  <c r="O19" i="11"/>
  <c r="O26" i="11"/>
  <c r="O27" i="11"/>
  <c r="O12" i="11"/>
  <c r="O13" i="11"/>
  <c r="O20" i="11"/>
  <c r="O21" i="11"/>
  <c r="O28" i="11"/>
  <c r="O29" i="11"/>
  <c r="O6" i="11"/>
  <c r="O7" i="11"/>
  <c r="O14" i="11"/>
  <c r="O15" i="11"/>
  <c r="O22" i="11"/>
  <c r="O23" i="11"/>
  <c r="O8" i="11"/>
  <c r="O9" i="11"/>
  <c r="O16" i="11"/>
  <c r="O17" i="11"/>
  <c r="O24" i="11"/>
  <c r="O25" i="11"/>
  <c r="O30" i="10"/>
  <c r="O29" i="10"/>
  <c r="O7" i="10"/>
  <c r="O8" i="10"/>
  <c r="O15" i="10"/>
  <c r="O16" i="10"/>
  <c r="O23" i="10"/>
  <c r="O24" i="10"/>
  <c r="O5" i="10"/>
  <c r="O6" i="10"/>
  <c r="O13" i="10"/>
  <c r="O14" i="10"/>
  <c r="O21" i="10"/>
  <c r="O22" i="10"/>
  <c r="O4" i="10"/>
  <c r="O11" i="10"/>
  <c r="O12" i="10"/>
  <c r="O19" i="10"/>
  <c r="O20" i="10"/>
  <c r="O27" i="10"/>
  <c r="O9" i="10"/>
  <c r="O10" i="10"/>
  <c r="O17" i="10"/>
  <c r="O18" i="10"/>
  <c r="O25" i="10"/>
  <c r="O26" i="10"/>
  <c r="O28" i="10"/>
  <c r="K24" i="9"/>
  <c r="K20" i="9"/>
  <c r="K16" i="9"/>
  <c r="K28" i="9"/>
  <c r="K12" i="9"/>
  <c r="N4" i="9"/>
  <c r="K27" i="9"/>
  <c r="K23" i="9"/>
  <c r="K19" i="9"/>
  <c r="K15" i="9"/>
  <c r="K11" i="9"/>
  <c r="K7" i="9"/>
  <c r="K4" i="9"/>
  <c r="K26" i="9"/>
  <c r="K22" i="9"/>
  <c r="K18" i="9"/>
  <c r="K14" i="9"/>
  <c r="K10" i="9"/>
  <c r="K6" i="9"/>
  <c r="K29" i="9"/>
  <c r="K25" i="9"/>
  <c r="K21" i="9"/>
  <c r="K17" i="9"/>
  <c r="K13" i="9"/>
  <c r="K9" i="9"/>
  <c r="N9" i="9"/>
  <c r="N14" i="9"/>
  <c r="N19" i="9"/>
  <c r="N7" i="9"/>
  <c r="N8" i="9"/>
  <c r="N13" i="9"/>
  <c r="N18" i="9"/>
  <c r="N23" i="9"/>
  <c r="N24" i="9"/>
  <c r="N20" i="9"/>
  <c r="N6" i="9"/>
  <c r="N11" i="9"/>
  <c r="N12" i="9"/>
  <c r="N17" i="9"/>
  <c r="N22" i="9"/>
  <c r="N29" i="9"/>
  <c r="N25" i="9"/>
  <c r="N5" i="9"/>
  <c r="N10" i="9"/>
  <c r="N15" i="9"/>
  <c r="N16" i="9"/>
  <c r="N21" i="9"/>
  <c r="N26" i="9"/>
  <c r="N28" i="9"/>
  <c r="N27" i="9"/>
  <c r="P18" i="8"/>
  <c r="P27" i="8"/>
  <c r="P7" i="8"/>
  <c r="P11" i="8"/>
  <c r="P15" i="8"/>
  <c r="P19" i="8"/>
  <c r="P26" i="8"/>
  <c r="P23" i="8"/>
  <c r="P6" i="8"/>
  <c r="P10" i="8"/>
  <c r="P14" i="8"/>
  <c r="P25" i="8"/>
  <c r="P5" i="8"/>
  <c r="P9" i="8"/>
  <c r="P13" i="8"/>
  <c r="P17" i="8"/>
  <c r="P21" i="8"/>
  <c r="P28" i="8"/>
  <c r="P24" i="8"/>
  <c r="P29" i="8"/>
  <c r="P20" i="8"/>
  <c r="P8" i="8"/>
  <c r="P16" i="8"/>
  <c r="P4" i="8"/>
  <c r="P22" i="8"/>
  <c r="P12" i="8"/>
  <c r="M22" i="7"/>
  <c r="M14" i="7"/>
  <c r="M18" i="7"/>
  <c r="M10" i="7"/>
  <c r="O6" i="6"/>
  <c r="O10" i="6"/>
  <c r="O14" i="6"/>
  <c r="O18" i="6"/>
  <c r="O5" i="6"/>
  <c r="O9" i="6"/>
  <c r="O13" i="6"/>
  <c r="O17" i="6"/>
  <c r="O21" i="6"/>
  <c r="O4" i="6"/>
  <c r="O8" i="6"/>
  <c r="O12" i="6"/>
  <c r="O16" i="6"/>
  <c r="O20" i="6"/>
  <c r="O7" i="6"/>
  <c r="O11" i="6"/>
  <c r="O15" i="6"/>
  <c r="O19" i="6"/>
  <c r="O23" i="6"/>
  <c r="O22" i="6"/>
  <c r="L4" i="6"/>
  <c r="L6" i="6"/>
  <c r="L8" i="6"/>
  <c r="L10" i="6"/>
  <c r="L12" i="6"/>
  <c r="L14" i="6"/>
  <c r="L16" i="6"/>
  <c r="L18" i="6"/>
  <c r="L20" i="6"/>
  <c r="L22" i="6"/>
  <c r="L5" i="6"/>
  <c r="L7" i="6"/>
  <c r="L9" i="6"/>
  <c r="L11" i="6"/>
  <c r="L13" i="6"/>
  <c r="L15" i="6"/>
  <c r="L17" i="6"/>
  <c r="L19" i="6"/>
  <c r="L21" i="6"/>
  <c r="M20" i="7"/>
  <c r="M16" i="7"/>
  <c r="M12" i="7"/>
  <c r="M8" i="7"/>
  <c r="M23" i="7"/>
  <c r="M19" i="7"/>
  <c r="M15" i="7"/>
  <c r="M11" i="7"/>
  <c r="M7" i="7"/>
  <c r="M6" i="7"/>
  <c r="M21" i="7"/>
  <c r="M17" i="7"/>
  <c r="M13" i="7"/>
  <c r="M9" i="7"/>
  <c r="P4" i="7"/>
  <c r="P13" i="7"/>
  <c r="P11" i="7"/>
  <c r="P18" i="7"/>
  <c r="P20" i="7"/>
  <c r="P6" i="7"/>
  <c r="P8" i="7"/>
  <c r="P15" i="7"/>
  <c r="P17" i="7"/>
  <c r="P22" i="7"/>
  <c r="P5" i="7"/>
  <c r="P10" i="7"/>
  <c r="P12" i="7"/>
  <c r="P19" i="7"/>
  <c r="P21" i="7"/>
  <c r="P7" i="7"/>
  <c r="P9" i="7"/>
  <c r="P14" i="7"/>
  <c r="P16" i="7"/>
  <c r="P23" i="7"/>
  <c r="M4" i="7"/>
  <c r="L19" i="5"/>
  <c r="L6" i="5"/>
  <c r="L22" i="5"/>
  <c r="L14" i="5"/>
  <c r="L11" i="5"/>
  <c r="L18" i="5"/>
  <c r="L10" i="5"/>
  <c r="L23" i="5"/>
  <c r="L15" i="5"/>
  <c r="L7" i="5"/>
  <c r="O9" i="5"/>
  <c r="O20" i="5"/>
  <c r="O16" i="5"/>
  <c r="O12" i="5"/>
  <c r="O8" i="5"/>
  <c r="O6" i="5"/>
  <c r="O10" i="5"/>
  <c r="O14" i="5"/>
  <c r="O18" i="5"/>
  <c r="O22" i="5"/>
  <c r="O4" i="5"/>
  <c r="O17" i="5"/>
  <c r="O23" i="5"/>
  <c r="O19" i="5"/>
  <c r="O15" i="5"/>
  <c r="O11" i="5"/>
  <c r="O7" i="5"/>
  <c r="O21" i="5"/>
  <c r="O13" i="5"/>
  <c r="O5" i="5"/>
  <c r="L21" i="5"/>
  <c r="L17" i="5"/>
  <c r="L13" i="5"/>
  <c r="L9" i="5"/>
  <c r="L20" i="5"/>
  <c r="L16" i="5"/>
  <c r="L12" i="5"/>
  <c r="L8" i="5"/>
  <c r="I5" i="4"/>
  <c r="I10" i="4"/>
  <c r="I14" i="4"/>
  <c r="I8" i="4"/>
  <c r="I12" i="4"/>
  <c r="I15" i="4"/>
  <c r="I16" i="4"/>
  <c r="I17" i="4"/>
  <c r="I18" i="4"/>
  <c r="I13" i="4"/>
  <c r="I11" i="4"/>
  <c r="I9" i="4"/>
  <c r="I7" i="4"/>
  <c r="I19" i="4"/>
  <c r="I20" i="4"/>
  <c r="I21" i="4"/>
  <c r="I22" i="4"/>
  <c r="I23" i="4"/>
  <c r="I6" i="4"/>
  <c r="I4" i="4"/>
  <c r="D4" i="3" s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J24" i="4"/>
  <c r="K5" i="4" s="1"/>
  <c r="K20" i="4" l="1"/>
  <c r="K12" i="4"/>
  <c r="K19" i="4"/>
  <c r="K11" i="4"/>
  <c r="K16" i="4"/>
  <c r="K8" i="4"/>
  <c r="K23" i="4"/>
  <c r="K15" i="4"/>
  <c r="K7" i="4"/>
  <c r="K22" i="4"/>
  <c r="K18" i="4"/>
  <c r="K14" i="4"/>
  <c r="K10" i="4"/>
  <c r="K6" i="4"/>
  <c r="K21" i="4"/>
  <c r="K17" i="4"/>
  <c r="K13" i="4"/>
  <c r="K9" i="4"/>
  <c r="M6" i="4" l="1"/>
  <c r="M7" i="4"/>
  <c r="M8" i="4"/>
  <c r="M11" i="4"/>
  <c r="M12" i="4"/>
  <c r="M15" i="4"/>
  <c r="M16" i="4"/>
  <c r="M19" i="4"/>
  <c r="M20" i="4"/>
  <c r="M23" i="4"/>
  <c r="O23" i="79"/>
  <c r="P23" i="79" s="1"/>
  <c r="O22" i="79"/>
  <c r="P22" i="79" s="1"/>
  <c r="O21" i="79"/>
  <c r="P21" i="79" s="1"/>
  <c r="O20" i="79"/>
  <c r="P20" i="79" s="1"/>
  <c r="O19" i="79"/>
  <c r="P19" i="79" s="1"/>
  <c r="O18" i="79"/>
  <c r="P18" i="79" s="1"/>
  <c r="O17" i="79"/>
  <c r="P17" i="79" s="1"/>
  <c r="O16" i="79"/>
  <c r="P16" i="79" s="1"/>
  <c r="O15" i="79"/>
  <c r="P15" i="79" s="1"/>
  <c r="O14" i="79"/>
  <c r="P14" i="79" s="1"/>
  <c r="O13" i="79"/>
  <c r="P13" i="79" s="1"/>
  <c r="O12" i="79"/>
  <c r="P12" i="79" s="1"/>
  <c r="O11" i="79"/>
  <c r="P11" i="79" s="1"/>
  <c r="O10" i="79"/>
  <c r="P10" i="79" s="1"/>
  <c r="O9" i="79"/>
  <c r="P9" i="79" s="1"/>
  <c r="O8" i="79"/>
  <c r="P8" i="79" s="1"/>
  <c r="O7" i="79"/>
  <c r="P7" i="79" s="1"/>
  <c r="O6" i="79"/>
  <c r="P6" i="79" s="1"/>
  <c r="O5" i="79"/>
  <c r="P5" i="79" s="1"/>
  <c r="O4" i="79"/>
  <c r="P4" i="79" s="1"/>
  <c r="O23" i="78"/>
  <c r="P23" i="78" s="1"/>
  <c r="O22" i="78"/>
  <c r="P22" i="78" s="1"/>
  <c r="O21" i="78"/>
  <c r="P21" i="78" s="1"/>
  <c r="O20" i="78"/>
  <c r="P20" i="78" s="1"/>
  <c r="O19" i="78"/>
  <c r="P19" i="78" s="1"/>
  <c r="O18" i="78"/>
  <c r="P18" i="78" s="1"/>
  <c r="O17" i="78"/>
  <c r="P17" i="78" s="1"/>
  <c r="O16" i="78"/>
  <c r="P16" i="78" s="1"/>
  <c r="O15" i="78"/>
  <c r="P15" i="78" s="1"/>
  <c r="O14" i="78"/>
  <c r="P14" i="78" s="1"/>
  <c r="O13" i="78"/>
  <c r="P13" i="78" s="1"/>
  <c r="O12" i="78"/>
  <c r="P12" i="78" s="1"/>
  <c r="O11" i="78"/>
  <c r="P11" i="78" s="1"/>
  <c r="O10" i="78"/>
  <c r="P10" i="78" s="1"/>
  <c r="O9" i="78"/>
  <c r="P9" i="78" s="1"/>
  <c r="O8" i="78"/>
  <c r="P8" i="78" s="1"/>
  <c r="O7" i="78"/>
  <c r="P7" i="78" s="1"/>
  <c r="O6" i="78"/>
  <c r="P6" i="78" s="1"/>
  <c r="O5" i="78"/>
  <c r="P5" i="78" s="1"/>
  <c r="O4" i="78"/>
  <c r="P4" i="78" s="1"/>
  <c r="O23" i="77"/>
  <c r="P23" i="77" s="1"/>
  <c r="O22" i="77"/>
  <c r="P22" i="77" s="1"/>
  <c r="O21" i="77"/>
  <c r="P21" i="77" s="1"/>
  <c r="O20" i="77"/>
  <c r="P20" i="77" s="1"/>
  <c r="O19" i="77"/>
  <c r="P19" i="77" s="1"/>
  <c r="O18" i="77"/>
  <c r="P18" i="77" s="1"/>
  <c r="O17" i="77"/>
  <c r="P17" i="77" s="1"/>
  <c r="O16" i="77"/>
  <c r="P16" i="77" s="1"/>
  <c r="O15" i="77"/>
  <c r="P15" i="77" s="1"/>
  <c r="O14" i="77"/>
  <c r="P14" i="77" s="1"/>
  <c r="O13" i="77"/>
  <c r="P13" i="77" s="1"/>
  <c r="O12" i="77"/>
  <c r="P12" i="77" s="1"/>
  <c r="O11" i="77"/>
  <c r="P11" i="77" s="1"/>
  <c r="O10" i="77"/>
  <c r="P10" i="77" s="1"/>
  <c r="O9" i="77"/>
  <c r="P9" i="77" s="1"/>
  <c r="O8" i="77"/>
  <c r="P8" i="77" s="1"/>
  <c r="O7" i="77"/>
  <c r="P7" i="77" s="1"/>
  <c r="O6" i="77"/>
  <c r="P6" i="77" s="1"/>
  <c r="O5" i="77"/>
  <c r="P5" i="77" s="1"/>
  <c r="O4" i="77"/>
  <c r="P4" i="77" s="1"/>
  <c r="O23" i="76"/>
  <c r="P23" i="76" s="1"/>
  <c r="O22" i="76"/>
  <c r="P22" i="76" s="1"/>
  <c r="O21" i="76"/>
  <c r="P21" i="76" s="1"/>
  <c r="O20" i="76"/>
  <c r="P20" i="76" s="1"/>
  <c r="O19" i="76"/>
  <c r="P19" i="76" s="1"/>
  <c r="O18" i="76"/>
  <c r="P18" i="76" s="1"/>
  <c r="O17" i="76"/>
  <c r="P17" i="76" s="1"/>
  <c r="O16" i="76"/>
  <c r="P16" i="76" s="1"/>
  <c r="O15" i="76"/>
  <c r="P15" i="76" s="1"/>
  <c r="O14" i="76"/>
  <c r="P14" i="76" s="1"/>
  <c r="O13" i="76"/>
  <c r="P13" i="76" s="1"/>
  <c r="O12" i="76"/>
  <c r="P12" i="76" s="1"/>
  <c r="O11" i="76"/>
  <c r="P11" i="76" s="1"/>
  <c r="O10" i="76"/>
  <c r="P10" i="76" s="1"/>
  <c r="O9" i="76"/>
  <c r="P9" i="76" s="1"/>
  <c r="O8" i="76"/>
  <c r="P8" i="76" s="1"/>
  <c r="O7" i="76"/>
  <c r="P7" i="76" s="1"/>
  <c r="O6" i="76"/>
  <c r="P6" i="76" s="1"/>
  <c r="O5" i="76"/>
  <c r="P5" i="76" s="1"/>
  <c r="O4" i="76"/>
  <c r="P4" i="76" s="1"/>
  <c r="O23" i="75"/>
  <c r="P23" i="75" s="1"/>
  <c r="O22" i="75"/>
  <c r="P22" i="75" s="1"/>
  <c r="O21" i="75"/>
  <c r="P21" i="75" s="1"/>
  <c r="O20" i="75"/>
  <c r="P20" i="75" s="1"/>
  <c r="O19" i="75"/>
  <c r="P19" i="75" s="1"/>
  <c r="O18" i="75"/>
  <c r="P18" i="75" s="1"/>
  <c r="O17" i="75"/>
  <c r="P17" i="75" s="1"/>
  <c r="O16" i="75"/>
  <c r="P16" i="75" s="1"/>
  <c r="O15" i="75"/>
  <c r="P15" i="75" s="1"/>
  <c r="O14" i="75"/>
  <c r="P14" i="75" s="1"/>
  <c r="O13" i="75"/>
  <c r="P13" i="75" s="1"/>
  <c r="O12" i="75"/>
  <c r="P12" i="75" s="1"/>
  <c r="O11" i="75"/>
  <c r="P11" i="75" s="1"/>
  <c r="O10" i="75"/>
  <c r="P10" i="75" s="1"/>
  <c r="O9" i="75"/>
  <c r="P9" i="75" s="1"/>
  <c r="O8" i="75"/>
  <c r="P8" i="75" s="1"/>
  <c r="O7" i="75"/>
  <c r="P7" i="75" s="1"/>
  <c r="O6" i="75"/>
  <c r="P6" i="75" s="1"/>
  <c r="O5" i="75"/>
  <c r="P5" i="75" s="1"/>
  <c r="O4" i="75"/>
  <c r="P4" i="75" s="1"/>
  <c r="O23" i="74"/>
  <c r="P23" i="74" s="1"/>
  <c r="O22" i="74"/>
  <c r="P22" i="74" s="1"/>
  <c r="O21" i="74"/>
  <c r="P21" i="74" s="1"/>
  <c r="O20" i="74"/>
  <c r="P20" i="74" s="1"/>
  <c r="O19" i="74"/>
  <c r="P19" i="74" s="1"/>
  <c r="O18" i="74"/>
  <c r="P18" i="74" s="1"/>
  <c r="O17" i="74"/>
  <c r="P17" i="74" s="1"/>
  <c r="O16" i="74"/>
  <c r="P16" i="74" s="1"/>
  <c r="O15" i="74"/>
  <c r="P15" i="74" s="1"/>
  <c r="O14" i="74"/>
  <c r="P14" i="74" s="1"/>
  <c r="O13" i="74"/>
  <c r="P13" i="74" s="1"/>
  <c r="O12" i="74"/>
  <c r="P12" i="74" s="1"/>
  <c r="O11" i="74"/>
  <c r="P11" i="74" s="1"/>
  <c r="O10" i="74"/>
  <c r="P10" i="74" s="1"/>
  <c r="O9" i="74"/>
  <c r="P9" i="74" s="1"/>
  <c r="O8" i="74"/>
  <c r="P8" i="74" s="1"/>
  <c r="O7" i="74"/>
  <c r="P7" i="74" s="1"/>
  <c r="O6" i="74"/>
  <c r="P6" i="74" s="1"/>
  <c r="O5" i="74"/>
  <c r="P5" i="74" s="1"/>
  <c r="O4" i="74"/>
  <c r="P4" i="74" s="1"/>
  <c r="O23" i="73"/>
  <c r="P23" i="73" s="1"/>
  <c r="O22" i="73"/>
  <c r="P22" i="73" s="1"/>
  <c r="O21" i="73"/>
  <c r="P21" i="73" s="1"/>
  <c r="O20" i="73"/>
  <c r="P20" i="73" s="1"/>
  <c r="O19" i="73"/>
  <c r="P19" i="73" s="1"/>
  <c r="O18" i="73"/>
  <c r="P18" i="73" s="1"/>
  <c r="O17" i="73"/>
  <c r="P17" i="73" s="1"/>
  <c r="O16" i="73"/>
  <c r="P16" i="73" s="1"/>
  <c r="O15" i="73"/>
  <c r="P15" i="73" s="1"/>
  <c r="O14" i="73"/>
  <c r="P14" i="73" s="1"/>
  <c r="O13" i="73"/>
  <c r="P13" i="73" s="1"/>
  <c r="O12" i="73"/>
  <c r="P12" i="73" s="1"/>
  <c r="O11" i="73"/>
  <c r="P11" i="73" s="1"/>
  <c r="O10" i="73"/>
  <c r="P10" i="73" s="1"/>
  <c r="O9" i="73"/>
  <c r="P9" i="73" s="1"/>
  <c r="O8" i="73"/>
  <c r="P8" i="73" s="1"/>
  <c r="O7" i="73"/>
  <c r="P7" i="73" s="1"/>
  <c r="O6" i="73"/>
  <c r="P6" i="73" s="1"/>
  <c r="O5" i="73"/>
  <c r="P5" i="73" s="1"/>
  <c r="O4" i="73"/>
  <c r="P4" i="73" s="1"/>
  <c r="O23" i="72"/>
  <c r="P23" i="72" s="1"/>
  <c r="O22" i="72"/>
  <c r="P22" i="72" s="1"/>
  <c r="O21" i="72"/>
  <c r="P21" i="72" s="1"/>
  <c r="O20" i="72"/>
  <c r="P20" i="72" s="1"/>
  <c r="O19" i="72"/>
  <c r="P19" i="72" s="1"/>
  <c r="O18" i="72"/>
  <c r="P18" i="72" s="1"/>
  <c r="O17" i="72"/>
  <c r="P17" i="72" s="1"/>
  <c r="O16" i="72"/>
  <c r="P16" i="72" s="1"/>
  <c r="O15" i="72"/>
  <c r="P15" i="72" s="1"/>
  <c r="O14" i="72"/>
  <c r="P14" i="72" s="1"/>
  <c r="O13" i="72"/>
  <c r="P13" i="72" s="1"/>
  <c r="O12" i="72"/>
  <c r="P12" i="72" s="1"/>
  <c r="O11" i="72"/>
  <c r="P11" i="72" s="1"/>
  <c r="O10" i="72"/>
  <c r="P10" i="72" s="1"/>
  <c r="O9" i="72"/>
  <c r="P9" i="72" s="1"/>
  <c r="O8" i="72"/>
  <c r="P8" i="72" s="1"/>
  <c r="O7" i="72"/>
  <c r="P7" i="72" s="1"/>
  <c r="O6" i="72"/>
  <c r="P6" i="72" s="1"/>
  <c r="O5" i="72"/>
  <c r="P5" i="72" s="1"/>
  <c r="O4" i="72"/>
  <c r="P4" i="72" s="1"/>
  <c r="O23" i="71"/>
  <c r="P23" i="71" s="1"/>
  <c r="O22" i="71"/>
  <c r="P22" i="71" s="1"/>
  <c r="O21" i="71"/>
  <c r="P21" i="71" s="1"/>
  <c r="O20" i="71"/>
  <c r="P20" i="71" s="1"/>
  <c r="O19" i="71"/>
  <c r="P19" i="71" s="1"/>
  <c r="O18" i="71"/>
  <c r="P18" i="71" s="1"/>
  <c r="O17" i="71"/>
  <c r="P17" i="71" s="1"/>
  <c r="O16" i="71"/>
  <c r="P16" i="71" s="1"/>
  <c r="O15" i="71"/>
  <c r="P15" i="71" s="1"/>
  <c r="O14" i="71"/>
  <c r="P14" i="71" s="1"/>
  <c r="O13" i="71"/>
  <c r="P13" i="71" s="1"/>
  <c r="O12" i="71"/>
  <c r="P12" i="71" s="1"/>
  <c r="O11" i="71"/>
  <c r="P11" i="71" s="1"/>
  <c r="O10" i="71"/>
  <c r="P10" i="71" s="1"/>
  <c r="O9" i="71"/>
  <c r="P9" i="71" s="1"/>
  <c r="O8" i="71"/>
  <c r="P8" i="71" s="1"/>
  <c r="O7" i="71"/>
  <c r="P7" i="71" s="1"/>
  <c r="O6" i="71"/>
  <c r="P6" i="71" s="1"/>
  <c r="O5" i="71"/>
  <c r="P5" i="71" s="1"/>
  <c r="O4" i="71"/>
  <c r="P4" i="71" s="1"/>
  <c r="O23" i="70"/>
  <c r="P23" i="70" s="1"/>
  <c r="O22" i="70"/>
  <c r="P22" i="70" s="1"/>
  <c r="O21" i="70"/>
  <c r="P21" i="70" s="1"/>
  <c r="O20" i="70"/>
  <c r="P20" i="70" s="1"/>
  <c r="O19" i="70"/>
  <c r="P19" i="70" s="1"/>
  <c r="O18" i="70"/>
  <c r="P18" i="70" s="1"/>
  <c r="O17" i="70"/>
  <c r="P17" i="70" s="1"/>
  <c r="O16" i="70"/>
  <c r="P16" i="70" s="1"/>
  <c r="O15" i="70"/>
  <c r="P15" i="70" s="1"/>
  <c r="O14" i="70"/>
  <c r="P14" i="70" s="1"/>
  <c r="O13" i="70"/>
  <c r="P13" i="70" s="1"/>
  <c r="O12" i="70"/>
  <c r="P12" i="70" s="1"/>
  <c r="O11" i="70"/>
  <c r="P11" i="70" s="1"/>
  <c r="O10" i="70"/>
  <c r="P10" i="70" s="1"/>
  <c r="O9" i="70"/>
  <c r="P9" i="70" s="1"/>
  <c r="O8" i="70"/>
  <c r="P8" i="70" s="1"/>
  <c r="O7" i="70"/>
  <c r="P7" i="70" s="1"/>
  <c r="O6" i="70"/>
  <c r="P6" i="70" s="1"/>
  <c r="O5" i="70"/>
  <c r="P5" i="70" s="1"/>
  <c r="O4" i="70"/>
  <c r="P4" i="70" s="1"/>
  <c r="O23" i="69"/>
  <c r="P23" i="69" s="1"/>
  <c r="O22" i="69"/>
  <c r="P22" i="69" s="1"/>
  <c r="O21" i="69"/>
  <c r="P21" i="69" s="1"/>
  <c r="O20" i="69"/>
  <c r="P20" i="69" s="1"/>
  <c r="O19" i="69"/>
  <c r="P19" i="69" s="1"/>
  <c r="O18" i="69"/>
  <c r="P18" i="69" s="1"/>
  <c r="O17" i="69"/>
  <c r="P17" i="69" s="1"/>
  <c r="O16" i="69"/>
  <c r="P16" i="69" s="1"/>
  <c r="O15" i="69"/>
  <c r="P15" i="69" s="1"/>
  <c r="O14" i="69"/>
  <c r="P14" i="69" s="1"/>
  <c r="O13" i="69"/>
  <c r="P13" i="69" s="1"/>
  <c r="O12" i="69"/>
  <c r="P12" i="69" s="1"/>
  <c r="O11" i="69"/>
  <c r="P11" i="69" s="1"/>
  <c r="O10" i="69"/>
  <c r="P10" i="69" s="1"/>
  <c r="O9" i="69"/>
  <c r="P9" i="69" s="1"/>
  <c r="O8" i="69"/>
  <c r="P8" i="69" s="1"/>
  <c r="O7" i="69"/>
  <c r="P7" i="69" s="1"/>
  <c r="O6" i="69"/>
  <c r="P6" i="69" s="1"/>
  <c r="O5" i="69"/>
  <c r="P5" i="69" s="1"/>
  <c r="O4" i="69"/>
  <c r="P4" i="69" s="1"/>
  <c r="O23" i="68"/>
  <c r="P23" i="68" s="1"/>
  <c r="O22" i="68"/>
  <c r="P22" i="68" s="1"/>
  <c r="O21" i="68"/>
  <c r="P21" i="68" s="1"/>
  <c r="O20" i="68"/>
  <c r="P20" i="68" s="1"/>
  <c r="O19" i="68"/>
  <c r="P19" i="68" s="1"/>
  <c r="O18" i="68"/>
  <c r="P18" i="68" s="1"/>
  <c r="O17" i="68"/>
  <c r="P17" i="68" s="1"/>
  <c r="O16" i="68"/>
  <c r="P16" i="68" s="1"/>
  <c r="O15" i="68"/>
  <c r="P15" i="68" s="1"/>
  <c r="O14" i="68"/>
  <c r="P14" i="68" s="1"/>
  <c r="O13" i="68"/>
  <c r="P13" i="68" s="1"/>
  <c r="O12" i="68"/>
  <c r="P12" i="68" s="1"/>
  <c r="O11" i="68"/>
  <c r="P11" i="68" s="1"/>
  <c r="O10" i="68"/>
  <c r="P10" i="68" s="1"/>
  <c r="O9" i="68"/>
  <c r="P9" i="68" s="1"/>
  <c r="O8" i="68"/>
  <c r="P8" i="68" s="1"/>
  <c r="O7" i="68"/>
  <c r="P7" i="68" s="1"/>
  <c r="O6" i="68"/>
  <c r="P6" i="68" s="1"/>
  <c r="O5" i="68"/>
  <c r="P5" i="68" s="1"/>
  <c r="O4" i="68"/>
  <c r="P4" i="68" s="1"/>
  <c r="O23" i="67"/>
  <c r="P23" i="67" s="1"/>
  <c r="O22" i="67"/>
  <c r="P22" i="67" s="1"/>
  <c r="O21" i="67"/>
  <c r="P21" i="67" s="1"/>
  <c r="O20" i="67"/>
  <c r="P20" i="67" s="1"/>
  <c r="O19" i="67"/>
  <c r="P19" i="67" s="1"/>
  <c r="O18" i="67"/>
  <c r="P18" i="67" s="1"/>
  <c r="O17" i="67"/>
  <c r="P17" i="67" s="1"/>
  <c r="O16" i="67"/>
  <c r="P16" i="67" s="1"/>
  <c r="O15" i="67"/>
  <c r="P15" i="67" s="1"/>
  <c r="O14" i="67"/>
  <c r="P14" i="67" s="1"/>
  <c r="O13" i="67"/>
  <c r="P13" i="67" s="1"/>
  <c r="O12" i="67"/>
  <c r="P12" i="67" s="1"/>
  <c r="O11" i="67"/>
  <c r="P11" i="67" s="1"/>
  <c r="O10" i="67"/>
  <c r="P10" i="67" s="1"/>
  <c r="O9" i="67"/>
  <c r="P9" i="67" s="1"/>
  <c r="O8" i="67"/>
  <c r="P8" i="67" s="1"/>
  <c r="O7" i="67"/>
  <c r="P7" i="67" s="1"/>
  <c r="O6" i="67"/>
  <c r="P6" i="67" s="1"/>
  <c r="O5" i="67"/>
  <c r="P5" i="67" s="1"/>
  <c r="O4" i="67"/>
  <c r="P4" i="67" s="1"/>
  <c r="O23" i="66"/>
  <c r="P23" i="66" s="1"/>
  <c r="O22" i="66"/>
  <c r="P22" i="66" s="1"/>
  <c r="O21" i="66"/>
  <c r="P21" i="66" s="1"/>
  <c r="O20" i="66"/>
  <c r="P20" i="66" s="1"/>
  <c r="O19" i="66"/>
  <c r="P19" i="66" s="1"/>
  <c r="O18" i="66"/>
  <c r="P18" i="66" s="1"/>
  <c r="O17" i="66"/>
  <c r="P17" i="66" s="1"/>
  <c r="O16" i="66"/>
  <c r="P16" i="66" s="1"/>
  <c r="O15" i="66"/>
  <c r="P15" i="66" s="1"/>
  <c r="O14" i="66"/>
  <c r="P14" i="66" s="1"/>
  <c r="O13" i="66"/>
  <c r="P13" i="66" s="1"/>
  <c r="O12" i="66"/>
  <c r="P12" i="66" s="1"/>
  <c r="O11" i="66"/>
  <c r="P11" i="66" s="1"/>
  <c r="O10" i="66"/>
  <c r="P10" i="66" s="1"/>
  <c r="O9" i="66"/>
  <c r="P9" i="66" s="1"/>
  <c r="O8" i="66"/>
  <c r="P8" i="66" s="1"/>
  <c r="O7" i="66"/>
  <c r="P7" i="66" s="1"/>
  <c r="O6" i="66"/>
  <c r="P6" i="66" s="1"/>
  <c r="O5" i="66"/>
  <c r="P5" i="66" s="1"/>
  <c r="O4" i="66"/>
  <c r="P4" i="66" s="1"/>
  <c r="O23" i="65"/>
  <c r="P23" i="65" s="1"/>
  <c r="O22" i="65"/>
  <c r="P22" i="65" s="1"/>
  <c r="O21" i="65"/>
  <c r="P21" i="65" s="1"/>
  <c r="O20" i="65"/>
  <c r="P20" i="65" s="1"/>
  <c r="O19" i="65"/>
  <c r="P19" i="65" s="1"/>
  <c r="O18" i="65"/>
  <c r="P18" i="65" s="1"/>
  <c r="O17" i="65"/>
  <c r="P17" i="65" s="1"/>
  <c r="O16" i="65"/>
  <c r="P16" i="65" s="1"/>
  <c r="O15" i="65"/>
  <c r="P15" i="65" s="1"/>
  <c r="O14" i="65"/>
  <c r="P14" i="65" s="1"/>
  <c r="O13" i="65"/>
  <c r="P13" i="65" s="1"/>
  <c r="O12" i="65"/>
  <c r="P12" i="65" s="1"/>
  <c r="O11" i="65"/>
  <c r="P11" i="65" s="1"/>
  <c r="O10" i="65"/>
  <c r="P10" i="65" s="1"/>
  <c r="O9" i="65"/>
  <c r="P9" i="65" s="1"/>
  <c r="O8" i="65"/>
  <c r="P8" i="65" s="1"/>
  <c r="O7" i="65"/>
  <c r="P7" i="65" s="1"/>
  <c r="O6" i="65"/>
  <c r="P6" i="65" s="1"/>
  <c r="O5" i="65"/>
  <c r="P5" i="65" s="1"/>
  <c r="O4" i="65"/>
  <c r="P4" i="65" s="1"/>
  <c r="O23" i="64"/>
  <c r="P23" i="64" s="1"/>
  <c r="O22" i="64"/>
  <c r="P22" i="64" s="1"/>
  <c r="O21" i="64"/>
  <c r="P21" i="64" s="1"/>
  <c r="O20" i="64"/>
  <c r="P20" i="64" s="1"/>
  <c r="O19" i="64"/>
  <c r="P19" i="64" s="1"/>
  <c r="O18" i="64"/>
  <c r="P18" i="64" s="1"/>
  <c r="O17" i="64"/>
  <c r="P17" i="64" s="1"/>
  <c r="O16" i="64"/>
  <c r="P16" i="64" s="1"/>
  <c r="O15" i="64"/>
  <c r="P15" i="64" s="1"/>
  <c r="O14" i="64"/>
  <c r="P14" i="64" s="1"/>
  <c r="O13" i="64"/>
  <c r="P13" i="64" s="1"/>
  <c r="O12" i="64"/>
  <c r="P12" i="64" s="1"/>
  <c r="O11" i="64"/>
  <c r="P11" i="64" s="1"/>
  <c r="O10" i="64"/>
  <c r="P10" i="64" s="1"/>
  <c r="O9" i="64"/>
  <c r="P9" i="64" s="1"/>
  <c r="O8" i="64"/>
  <c r="P8" i="64" s="1"/>
  <c r="O7" i="64"/>
  <c r="P7" i="64" s="1"/>
  <c r="O6" i="64"/>
  <c r="P6" i="64" s="1"/>
  <c r="O5" i="64"/>
  <c r="P5" i="64" s="1"/>
  <c r="O4" i="64"/>
  <c r="P4" i="64" s="1"/>
  <c r="O23" i="63"/>
  <c r="P23" i="63" s="1"/>
  <c r="O22" i="63"/>
  <c r="P22" i="63" s="1"/>
  <c r="O21" i="63"/>
  <c r="P21" i="63" s="1"/>
  <c r="O20" i="63"/>
  <c r="P20" i="63" s="1"/>
  <c r="O19" i="63"/>
  <c r="P19" i="63" s="1"/>
  <c r="O18" i="63"/>
  <c r="P18" i="63" s="1"/>
  <c r="O17" i="63"/>
  <c r="P17" i="63" s="1"/>
  <c r="O16" i="63"/>
  <c r="P16" i="63" s="1"/>
  <c r="O15" i="63"/>
  <c r="P15" i="63" s="1"/>
  <c r="O14" i="63"/>
  <c r="P14" i="63" s="1"/>
  <c r="O13" i="63"/>
  <c r="P13" i="63" s="1"/>
  <c r="O12" i="63"/>
  <c r="P12" i="63" s="1"/>
  <c r="O11" i="63"/>
  <c r="P11" i="63" s="1"/>
  <c r="O10" i="63"/>
  <c r="P10" i="63" s="1"/>
  <c r="O9" i="63"/>
  <c r="P9" i="63" s="1"/>
  <c r="O8" i="63"/>
  <c r="P8" i="63" s="1"/>
  <c r="O7" i="63"/>
  <c r="P7" i="63" s="1"/>
  <c r="O6" i="63"/>
  <c r="P6" i="63" s="1"/>
  <c r="O5" i="63"/>
  <c r="P5" i="63" s="1"/>
  <c r="O4" i="63"/>
  <c r="P4" i="63" s="1"/>
  <c r="O23" i="62"/>
  <c r="P23" i="62" s="1"/>
  <c r="O22" i="62"/>
  <c r="P22" i="62" s="1"/>
  <c r="O21" i="62"/>
  <c r="P21" i="62" s="1"/>
  <c r="O20" i="62"/>
  <c r="P20" i="62" s="1"/>
  <c r="O19" i="62"/>
  <c r="P19" i="62" s="1"/>
  <c r="O18" i="62"/>
  <c r="P18" i="62" s="1"/>
  <c r="O17" i="62"/>
  <c r="P17" i="62" s="1"/>
  <c r="O16" i="62"/>
  <c r="P16" i="62" s="1"/>
  <c r="O15" i="62"/>
  <c r="P15" i="62" s="1"/>
  <c r="O14" i="62"/>
  <c r="P14" i="62" s="1"/>
  <c r="O13" i="62"/>
  <c r="P13" i="62" s="1"/>
  <c r="O12" i="62"/>
  <c r="P12" i="62" s="1"/>
  <c r="O11" i="62"/>
  <c r="P11" i="62" s="1"/>
  <c r="O10" i="62"/>
  <c r="P10" i="62" s="1"/>
  <c r="O9" i="62"/>
  <c r="P9" i="62" s="1"/>
  <c r="O8" i="62"/>
  <c r="P8" i="62" s="1"/>
  <c r="O7" i="62"/>
  <c r="P7" i="62" s="1"/>
  <c r="O6" i="62"/>
  <c r="P6" i="62" s="1"/>
  <c r="O5" i="62"/>
  <c r="P5" i="62" s="1"/>
  <c r="O4" i="62"/>
  <c r="P4" i="62" s="1"/>
  <c r="O23" i="61"/>
  <c r="P23" i="61" s="1"/>
  <c r="O22" i="61"/>
  <c r="P22" i="61" s="1"/>
  <c r="O21" i="61"/>
  <c r="P21" i="61" s="1"/>
  <c r="O20" i="61"/>
  <c r="P20" i="61" s="1"/>
  <c r="O19" i="61"/>
  <c r="P19" i="61" s="1"/>
  <c r="O18" i="61"/>
  <c r="P18" i="61" s="1"/>
  <c r="O17" i="61"/>
  <c r="P17" i="61" s="1"/>
  <c r="O16" i="61"/>
  <c r="P16" i="61" s="1"/>
  <c r="O15" i="61"/>
  <c r="P15" i="61" s="1"/>
  <c r="O14" i="61"/>
  <c r="P14" i="61" s="1"/>
  <c r="O13" i="61"/>
  <c r="P13" i="61" s="1"/>
  <c r="O12" i="61"/>
  <c r="P12" i="61" s="1"/>
  <c r="O11" i="61"/>
  <c r="P11" i="61" s="1"/>
  <c r="O10" i="61"/>
  <c r="P10" i="61" s="1"/>
  <c r="O9" i="61"/>
  <c r="P9" i="61" s="1"/>
  <c r="O8" i="61"/>
  <c r="P8" i="61" s="1"/>
  <c r="O7" i="61"/>
  <c r="P7" i="61" s="1"/>
  <c r="O6" i="61"/>
  <c r="P6" i="61" s="1"/>
  <c r="O5" i="61"/>
  <c r="P5" i="61" s="1"/>
  <c r="O4" i="61"/>
  <c r="P4" i="61" s="1"/>
  <c r="O23" i="60"/>
  <c r="P23" i="60" s="1"/>
  <c r="O22" i="60"/>
  <c r="P22" i="60" s="1"/>
  <c r="O21" i="60"/>
  <c r="P21" i="60" s="1"/>
  <c r="O20" i="60"/>
  <c r="P20" i="60" s="1"/>
  <c r="O19" i="60"/>
  <c r="P19" i="60" s="1"/>
  <c r="O18" i="60"/>
  <c r="P18" i="60" s="1"/>
  <c r="O17" i="60"/>
  <c r="P17" i="60" s="1"/>
  <c r="O16" i="60"/>
  <c r="P16" i="60" s="1"/>
  <c r="O15" i="60"/>
  <c r="P15" i="60" s="1"/>
  <c r="O14" i="60"/>
  <c r="P14" i="60" s="1"/>
  <c r="O13" i="60"/>
  <c r="P13" i="60" s="1"/>
  <c r="O12" i="60"/>
  <c r="P12" i="60" s="1"/>
  <c r="O11" i="60"/>
  <c r="P11" i="60" s="1"/>
  <c r="O10" i="60"/>
  <c r="P10" i="60" s="1"/>
  <c r="O9" i="60"/>
  <c r="P9" i="60" s="1"/>
  <c r="O8" i="60"/>
  <c r="P8" i="60" s="1"/>
  <c r="O7" i="60"/>
  <c r="P7" i="60" s="1"/>
  <c r="O6" i="60"/>
  <c r="P6" i="60" s="1"/>
  <c r="O5" i="60"/>
  <c r="P5" i="60" s="1"/>
  <c r="O4" i="60"/>
  <c r="P4" i="60" s="1"/>
  <c r="O23" i="59"/>
  <c r="P23" i="59" s="1"/>
  <c r="O22" i="59"/>
  <c r="P22" i="59" s="1"/>
  <c r="O21" i="59"/>
  <c r="P21" i="59" s="1"/>
  <c r="O20" i="59"/>
  <c r="P20" i="59" s="1"/>
  <c r="O19" i="59"/>
  <c r="P19" i="59" s="1"/>
  <c r="O18" i="59"/>
  <c r="P18" i="59" s="1"/>
  <c r="O17" i="59"/>
  <c r="P17" i="59" s="1"/>
  <c r="O16" i="59"/>
  <c r="P16" i="59" s="1"/>
  <c r="O15" i="59"/>
  <c r="P15" i="59" s="1"/>
  <c r="O14" i="59"/>
  <c r="P14" i="59" s="1"/>
  <c r="O13" i="59"/>
  <c r="P13" i="59" s="1"/>
  <c r="O12" i="59"/>
  <c r="P12" i="59" s="1"/>
  <c r="O11" i="59"/>
  <c r="P11" i="59" s="1"/>
  <c r="O10" i="59"/>
  <c r="P10" i="59" s="1"/>
  <c r="O9" i="59"/>
  <c r="P9" i="59" s="1"/>
  <c r="O8" i="59"/>
  <c r="P8" i="59" s="1"/>
  <c r="O7" i="59"/>
  <c r="P7" i="59" s="1"/>
  <c r="O6" i="59"/>
  <c r="P6" i="59" s="1"/>
  <c r="O5" i="59"/>
  <c r="P5" i="59" s="1"/>
  <c r="O4" i="59"/>
  <c r="P4" i="59" s="1"/>
  <c r="O23" i="58"/>
  <c r="P23" i="58" s="1"/>
  <c r="O22" i="58"/>
  <c r="P22" i="58" s="1"/>
  <c r="O21" i="58"/>
  <c r="P21" i="58" s="1"/>
  <c r="O20" i="58"/>
  <c r="P20" i="58" s="1"/>
  <c r="O19" i="58"/>
  <c r="P19" i="58" s="1"/>
  <c r="O18" i="58"/>
  <c r="P18" i="58" s="1"/>
  <c r="O17" i="58"/>
  <c r="P17" i="58" s="1"/>
  <c r="O16" i="58"/>
  <c r="P16" i="58" s="1"/>
  <c r="O15" i="58"/>
  <c r="P15" i="58" s="1"/>
  <c r="O14" i="58"/>
  <c r="P14" i="58" s="1"/>
  <c r="O13" i="58"/>
  <c r="P13" i="58" s="1"/>
  <c r="O12" i="58"/>
  <c r="P12" i="58" s="1"/>
  <c r="O11" i="58"/>
  <c r="P11" i="58" s="1"/>
  <c r="O10" i="58"/>
  <c r="P10" i="58" s="1"/>
  <c r="O9" i="58"/>
  <c r="P9" i="58" s="1"/>
  <c r="O8" i="58"/>
  <c r="P8" i="58" s="1"/>
  <c r="O7" i="58"/>
  <c r="P7" i="58" s="1"/>
  <c r="O6" i="58"/>
  <c r="P6" i="58" s="1"/>
  <c r="O5" i="58"/>
  <c r="P5" i="58" s="1"/>
  <c r="O4" i="58"/>
  <c r="P4" i="58" s="1"/>
  <c r="O23" i="57"/>
  <c r="P23" i="57" s="1"/>
  <c r="O22" i="57"/>
  <c r="P22" i="57" s="1"/>
  <c r="O21" i="57"/>
  <c r="P21" i="57" s="1"/>
  <c r="O20" i="57"/>
  <c r="P20" i="57" s="1"/>
  <c r="O19" i="57"/>
  <c r="P19" i="57" s="1"/>
  <c r="O18" i="57"/>
  <c r="P18" i="57" s="1"/>
  <c r="O17" i="57"/>
  <c r="P17" i="57" s="1"/>
  <c r="O16" i="57"/>
  <c r="P16" i="57" s="1"/>
  <c r="O15" i="57"/>
  <c r="P15" i="57" s="1"/>
  <c r="O14" i="57"/>
  <c r="P14" i="57" s="1"/>
  <c r="O13" i="57"/>
  <c r="P13" i="57" s="1"/>
  <c r="O12" i="57"/>
  <c r="P12" i="57" s="1"/>
  <c r="O11" i="57"/>
  <c r="P11" i="57" s="1"/>
  <c r="O10" i="57"/>
  <c r="P10" i="57" s="1"/>
  <c r="O9" i="57"/>
  <c r="P9" i="57" s="1"/>
  <c r="O8" i="57"/>
  <c r="P8" i="57" s="1"/>
  <c r="O7" i="57"/>
  <c r="P7" i="57" s="1"/>
  <c r="O6" i="57"/>
  <c r="P6" i="57" s="1"/>
  <c r="O5" i="57"/>
  <c r="P5" i="57" s="1"/>
  <c r="O4" i="57"/>
  <c r="P4" i="57" s="1"/>
  <c r="O23" i="56"/>
  <c r="P23" i="56" s="1"/>
  <c r="O22" i="56"/>
  <c r="P22" i="56" s="1"/>
  <c r="O21" i="56"/>
  <c r="P21" i="56" s="1"/>
  <c r="O20" i="56"/>
  <c r="P20" i="56" s="1"/>
  <c r="O19" i="56"/>
  <c r="P19" i="56" s="1"/>
  <c r="O18" i="56"/>
  <c r="P18" i="56" s="1"/>
  <c r="O17" i="56"/>
  <c r="P17" i="56" s="1"/>
  <c r="O16" i="56"/>
  <c r="P16" i="56" s="1"/>
  <c r="O15" i="56"/>
  <c r="P15" i="56" s="1"/>
  <c r="O14" i="56"/>
  <c r="P14" i="56" s="1"/>
  <c r="O13" i="56"/>
  <c r="P13" i="56" s="1"/>
  <c r="O12" i="56"/>
  <c r="P12" i="56" s="1"/>
  <c r="O11" i="56"/>
  <c r="P11" i="56" s="1"/>
  <c r="O10" i="56"/>
  <c r="P10" i="56" s="1"/>
  <c r="O9" i="56"/>
  <c r="P9" i="56" s="1"/>
  <c r="O8" i="56"/>
  <c r="P8" i="56" s="1"/>
  <c r="O7" i="56"/>
  <c r="P7" i="56" s="1"/>
  <c r="O6" i="56"/>
  <c r="P6" i="56" s="1"/>
  <c r="O5" i="56"/>
  <c r="P5" i="56" s="1"/>
  <c r="O4" i="56"/>
  <c r="P4" i="56" s="1"/>
  <c r="O23" i="55"/>
  <c r="P23" i="55" s="1"/>
  <c r="O22" i="55"/>
  <c r="P22" i="55" s="1"/>
  <c r="O21" i="55"/>
  <c r="P21" i="55" s="1"/>
  <c r="O20" i="55"/>
  <c r="P20" i="55" s="1"/>
  <c r="O19" i="55"/>
  <c r="P19" i="55" s="1"/>
  <c r="O18" i="55"/>
  <c r="P18" i="55" s="1"/>
  <c r="O17" i="55"/>
  <c r="P17" i="55" s="1"/>
  <c r="O16" i="55"/>
  <c r="P16" i="55" s="1"/>
  <c r="O15" i="55"/>
  <c r="P15" i="55" s="1"/>
  <c r="O14" i="55"/>
  <c r="P14" i="55" s="1"/>
  <c r="O13" i="55"/>
  <c r="P13" i="55" s="1"/>
  <c r="O12" i="55"/>
  <c r="P12" i="55" s="1"/>
  <c r="O11" i="55"/>
  <c r="P11" i="55" s="1"/>
  <c r="O10" i="55"/>
  <c r="P10" i="55" s="1"/>
  <c r="O9" i="55"/>
  <c r="P9" i="55" s="1"/>
  <c r="O8" i="55"/>
  <c r="P8" i="55" s="1"/>
  <c r="O7" i="55"/>
  <c r="P7" i="55" s="1"/>
  <c r="O6" i="55"/>
  <c r="P6" i="55" s="1"/>
  <c r="O5" i="55"/>
  <c r="P5" i="55" s="1"/>
  <c r="O4" i="55"/>
  <c r="P4" i="55" s="1"/>
  <c r="O23" i="54"/>
  <c r="P23" i="54" s="1"/>
  <c r="O22" i="54"/>
  <c r="P22" i="54" s="1"/>
  <c r="O21" i="54"/>
  <c r="P21" i="54" s="1"/>
  <c r="O20" i="54"/>
  <c r="P20" i="54" s="1"/>
  <c r="O19" i="54"/>
  <c r="P19" i="54" s="1"/>
  <c r="O18" i="54"/>
  <c r="P18" i="54" s="1"/>
  <c r="O17" i="54"/>
  <c r="P17" i="54" s="1"/>
  <c r="O16" i="54"/>
  <c r="P16" i="54" s="1"/>
  <c r="O15" i="54"/>
  <c r="P15" i="54" s="1"/>
  <c r="O14" i="54"/>
  <c r="P14" i="54" s="1"/>
  <c r="O13" i="54"/>
  <c r="P13" i="54" s="1"/>
  <c r="O12" i="54"/>
  <c r="P12" i="54" s="1"/>
  <c r="O11" i="54"/>
  <c r="P11" i="54" s="1"/>
  <c r="O10" i="54"/>
  <c r="P10" i="54" s="1"/>
  <c r="O9" i="54"/>
  <c r="P9" i="54" s="1"/>
  <c r="O8" i="54"/>
  <c r="P8" i="54" s="1"/>
  <c r="O7" i="54"/>
  <c r="P7" i="54" s="1"/>
  <c r="O6" i="54"/>
  <c r="P6" i="54" s="1"/>
  <c r="O5" i="54"/>
  <c r="P5" i="54" s="1"/>
  <c r="O4" i="54"/>
  <c r="P4" i="54" s="1"/>
  <c r="O23" i="53"/>
  <c r="P23" i="53" s="1"/>
  <c r="O22" i="53"/>
  <c r="P22" i="53" s="1"/>
  <c r="O21" i="53"/>
  <c r="P21" i="53" s="1"/>
  <c r="O20" i="53"/>
  <c r="P20" i="53" s="1"/>
  <c r="O19" i="53"/>
  <c r="P19" i="53" s="1"/>
  <c r="O18" i="53"/>
  <c r="P18" i="53" s="1"/>
  <c r="O17" i="53"/>
  <c r="P17" i="53" s="1"/>
  <c r="O16" i="53"/>
  <c r="P16" i="53" s="1"/>
  <c r="O15" i="53"/>
  <c r="P15" i="53" s="1"/>
  <c r="O14" i="53"/>
  <c r="P14" i="53" s="1"/>
  <c r="O13" i="53"/>
  <c r="P13" i="53" s="1"/>
  <c r="O12" i="53"/>
  <c r="P12" i="53" s="1"/>
  <c r="O11" i="53"/>
  <c r="P11" i="53" s="1"/>
  <c r="O10" i="53"/>
  <c r="P10" i="53" s="1"/>
  <c r="O9" i="53"/>
  <c r="P9" i="53" s="1"/>
  <c r="O8" i="53"/>
  <c r="P8" i="53" s="1"/>
  <c r="O7" i="53"/>
  <c r="P7" i="53" s="1"/>
  <c r="O6" i="53"/>
  <c r="P6" i="53" s="1"/>
  <c r="O5" i="53"/>
  <c r="P5" i="53" s="1"/>
  <c r="O4" i="53"/>
  <c r="P4" i="53" s="1"/>
  <c r="O23" i="52"/>
  <c r="P23" i="52" s="1"/>
  <c r="O22" i="52"/>
  <c r="P22" i="52" s="1"/>
  <c r="O21" i="52"/>
  <c r="P21" i="52" s="1"/>
  <c r="O20" i="52"/>
  <c r="P20" i="52" s="1"/>
  <c r="O19" i="52"/>
  <c r="P19" i="52" s="1"/>
  <c r="O18" i="52"/>
  <c r="P18" i="52" s="1"/>
  <c r="O17" i="52"/>
  <c r="P17" i="52" s="1"/>
  <c r="O16" i="52"/>
  <c r="P16" i="52" s="1"/>
  <c r="O15" i="52"/>
  <c r="P15" i="52" s="1"/>
  <c r="O14" i="52"/>
  <c r="P14" i="52" s="1"/>
  <c r="O13" i="52"/>
  <c r="P13" i="52" s="1"/>
  <c r="O12" i="52"/>
  <c r="P12" i="52" s="1"/>
  <c r="O11" i="52"/>
  <c r="P11" i="52" s="1"/>
  <c r="O10" i="52"/>
  <c r="P10" i="52" s="1"/>
  <c r="O9" i="52"/>
  <c r="P9" i="52" s="1"/>
  <c r="O8" i="52"/>
  <c r="P8" i="52" s="1"/>
  <c r="O7" i="52"/>
  <c r="P7" i="52" s="1"/>
  <c r="O6" i="52"/>
  <c r="P6" i="52" s="1"/>
  <c r="O5" i="52"/>
  <c r="P5" i="52" s="1"/>
  <c r="O4" i="52"/>
  <c r="P4" i="52" s="1"/>
  <c r="O23" i="51"/>
  <c r="P23" i="51" s="1"/>
  <c r="O22" i="51"/>
  <c r="P22" i="51" s="1"/>
  <c r="O21" i="51"/>
  <c r="P21" i="51" s="1"/>
  <c r="O20" i="51"/>
  <c r="P20" i="51" s="1"/>
  <c r="O19" i="51"/>
  <c r="P19" i="51" s="1"/>
  <c r="O18" i="51"/>
  <c r="P18" i="51" s="1"/>
  <c r="O17" i="51"/>
  <c r="P17" i="51" s="1"/>
  <c r="O16" i="51"/>
  <c r="P16" i="51" s="1"/>
  <c r="O15" i="51"/>
  <c r="P15" i="51" s="1"/>
  <c r="O14" i="51"/>
  <c r="P14" i="51" s="1"/>
  <c r="O13" i="51"/>
  <c r="P13" i="51" s="1"/>
  <c r="O12" i="51"/>
  <c r="P12" i="51" s="1"/>
  <c r="O11" i="51"/>
  <c r="P11" i="51" s="1"/>
  <c r="O10" i="51"/>
  <c r="P10" i="51" s="1"/>
  <c r="O9" i="51"/>
  <c r="P9" i="51" s="1"/>
  <c r="O8" i="51"/>
  <c r="P8" i="51" s="1"/>
  <c r="O7" i="51"/>
  <c r="P7" i="51" s="1"/>
  <c r="O6" i="51"/>
  <c r="P6" i="51" s="1"/>
  <c r="O5" i="51"/>
  <c r="P5" i="51" s="1"/>
  <c r="O4" i="51"/>
  <c r="P4" i="51" s="1"/>
  <c r="O23" i="50"/>
  <c r="P23" i="50" s="1"/>
  <c r="O22" i="50"/>
  <c r="P22" i="50" s="1"/>
  <c r="O21" i="50"/>
  <c r="P21" i="50" s="1"/>
  <c r="O20" i="50"/>
  <c r="P20" i="50" s="1"/>
  <c r="O19" i="50"/>
  <c r="P19" i="50" s="1"/>
  <c r="O18" i="50"/>
  <c r="P18" i="50" s="1"/>
  <c r="O17" i="50"/>
  <c r="P17" i="50" s="1"/>
  <c r="O16" i="50"/>
  <c r="P16" i="50" s="1"/>
  <c r="O15" i="50"/>
  <c r="P15" i="50" s="1"/>
  <c r="O14" i="50"/>
  <c r="P14" i="50" s="1"/>
  <c r="O13" i="50"/>
  <c r="P13" i="50" s="1"/>
  <c r="O12" i="50"/>
  <c r="P12" i="50" s="1"/>
  <c r="O11" i="50"/>
  <c r="P11" i="50" s="1"/>
  <c r="O10" i="50"/>
  <c r="P10" i="50" s="1"/>
  <c r="O9" i="50"/>
  <c r="P9" i="50" s="1"/>
  <c r="O8" i="50"/>
  <c r="P8" i="50" s="1"/>
  <c r="O7" i="50"/>
  <c r="P7" i="50" s="1"/>
  <c r="O6" i="50"/>
  <c r="P6" i="50" s="1"/>
  <c r="O5" i="50"/>
  <c r="P5" i="50" s="1"/>
  <c r="O4" i="50"/>
  <c r="P4" i="50" s="1"/>
  <c r="O23" i="49"/>
  <c r="P23" i="49" s="1"/>
  <c r="O22" i="49"/>
  <c r="P22" i="49" s="1"/>
  <c r="O21" i="49"/>
  <c r="P21" i="49" s="1"/>
  <c r="O20" i="49"/>
  <c r="P20" i="49" s="1"/>
  <c r="O19" i="49"/>
  <c r="P19" i="49" s="1"/>
  <c r="O18" i="49"/>
  <c r="P18" i="49" s="1"/>
  <c r="O17" i="49"/>
  <c r="P17" i="49" s="1"/>
  <c r="O16" i="49"/>
  <c r="P16" i="49" s="1"/>
  <c r="O15" i="49"/>
  <c r="P15" i="49" s="1"/>
  <c r="O14" i="49"/>
  <c r="P14" i="49" s="1"/>
  <c r="O13" i="49"/>
  <c r="P13" i="49" s="1"/>
  <c r="O12" i="49"/>
  <c r="P12" i="49" s="1"/>
  <c r="O11" i="49"/>
  <c r="P11" i="49" s="1"/>
  <c r="O10" i="49"/>
  <c r="P10" i="49" s="1"/>
  <c r="O9" i="49"/>
  <c r="P9" i="49" s="1"/>
  <c r="O8" i="49"/>
  <c r="P8" i="49" s="1"/>
  <c r="O7" i="49"/>
  <c r="P7" i="49" s="1"/>
  <c r="O6" i="49"/>
  <c r="P6" i="49" s="1"/>
  <c r="O5" i="49"/>
  <c r="P5" i="49" s="1"/>
  <c r="O4" i="49"/>
  <c r="P4" i="49" s="1"/>
  <c r="O23" i="48"/>
  <c r="P23" i="48" s="1"/>
  <c r="O22" i="48"/>
  <c r="P22" i="48" s="1"/>
  <c r="O21" i="48"/>
  <c r="P21" i="48" s="1"/>
  <c r="O20" i="48"/>
  <c r="P20" i="48" s="1"/>
  <c r="O19" i="48"/>
  <c r="P19" i="48" s="1"/>
  <c r="O18" i="48"/>
  <c r="P18" i="48" s="1"/>
  <c r="O17" i="48"/>
  <c r="P17" i="48" s="1"/>
  <c r="O16" i="48"/>
  <c r="P16" i="48" s="1"/>
  <c r="O15" i="48"/>
  <c r="P15" i="48" s="1"/>
  <c r="O14" i="48"/>
  <c r="P14" i="48" s="1"/>
  <c r="O13" i="48"/>
  <c r="P13" i="48" s="1"/>
  <c r="O12" i="48"/>
  <c r="P12" i="48" s="1"/>
  <c r="O11" i="48"/>
  <c r="P11" i="48" s="1"/>
  <c r="O10" i="48"/>
  <c r="P10" i="48" s="1"/>
  <c r="O9" i="48"/>
  <c r="P9" i="48" s="1"/>
  <c r="O8" i="48"/>
  <c r="P8" i="48" s="1"/>
  <c r="O7" i="48"/>
  <c r="P7" i="48" s="1"/>
  <c r="O6" i="48"/>
  <c r="P6" i="48" s="1"/>
  <c r="O5" i="48"/>
  <c r="P5" i="48" s="1"/>
  <c r="O4" i="48"/>
  <c r="P4" i="48" s="1"/>
  <c r="O23" i="47"/>
  <c r="P23" i="47" s="1"/>
  <c r="O22" i="47"/>
  <c r="P22" i="47" s="1"/>
  <c r="O21" i="47"/>
  <c r="P21" i="47" s="1"/>
  <c r="O20" i="47"/>
  <c r="P20" i="47" s="1"/>
  <c r="O19" i="47"/>
  <c r="P19" i="47" s="1"/>
  <c r="O18" i="47"/>
  <c r="P18" i="47" s="1"/>
  <c r="O17" i="47"/>
  <c r="P17" i="47" s="1"/>
  <c r="O16" i="47"/>
  <c r="P16" i="47" s="1"/>
  <c r="O15" i="47"/>
  <c r="P15" i="47" s="1"/>
  <c r="O14" i="47"/>
  <c r="P14" i="47" s="1"/>
  <c r="O13" i="47"/>
  <c r="P13" i="47" s="1"/>
  <c r="O12" i="47"/>
  <c r="P12" i="47" s="1"/>
  <c r="O11" i="47"/>
  <c r="P11" i="47" s="1"/>
  <c r="O10" i="47"/>
  <c r="P10" i="47" s="1"/>
  <c r="O9" i="47"/>
  <c r="P9" i="47" s="1"/>
  <c r="O8" i="47"/>
  <c r="P8" i="47" s="1"/>
  <c r="O7" i="47"/>
  <c r="P7" i="47" s="1"/>
  <c r="O6" i="47"/>
  <c r="P6" i="47" s="1"/>
  <c r="O5" i="47"/>
  <c r="P5" i="47" s="1"/>
  <c r="O4" i="47"/>
  <c r="P4" i="47" s="1"/>
  <c r="O23" i="46"/>
  <c r="P23" i="46" s="1"/>
  <c r="O22" i="46"/>
  <c r="P22" i="46" s="1"/>
  <c r="O21" i="46"/>
  <c r="P21" i="46" s="1"/>
  <c r="O20" i="46"/>
  <c r="P20" i="46" s="1"/>
  <c r="O19" i="46"/>
  <c r="P19" i="46" s="1"/>
  <c r="O18" i="46"/>
  <c r="P18" i="46" s="1"/>
  <c r="O17" i="46"/>
  <c r="P17" i="46" s="1"/>
  <c r="O16" i="46"/>
  <c r="P16" i="46" s="1"/>
  <c r="O15" i="46"/>
  <c r="P15" i="46" s="1"/>
  <c r="O14" i="46"/>
  <c r="P14" i="46" s="1"/>
  <c r="O13" i="46"/>
  <c r="P13" i="46" s="1"/>
  <c r="O12" i="46"/>
  <c r="P12" i="46" s="1"/>
  <c r="O11" i="46"/>
  <c r="P11" i="46" s="1"/>
  <c r="O10" i="46"/>
  <c r="P10" i="46" s="1"/>
  <c r="O9" i="46"/>
  <c r="P9" i="46" s="1"/>
  <c r="O8" i="46"/>
  <c r="P8" i="46" s="1"/>
  <c r="O7" i="46"/>
  <c r="P7" i="46" s="1"/>
  <c r="O6" i="46"/>
  <c r="P6" i="46" s="1"/>
  <c r="O5" i="46"/>
  <c r="P5" i="46" s="1"/>
  <c r="O4" i="46"/>
  <c r="P4" i="46" s="1"/>
  <c r="O23" i="45"/>
  <c r="P23" i="45" s="1"/>
  <c r="O22" i="45"/>
  <c r="P22" i="45" s="1"/>
  <c r="O21" i="45"/>
  <c r="P21" i="45" s="1"/>
  <c r="O20" i="45"/>
  <c r="P20" i="45" s="1"/>
  <c r="O19" i="45"/>
  <c r="P19" i="45" s="1"/>
  <c r="O18" i="45"/>
  <c r="P18" i="45" s="1"/>
  <c r="O17" i="45"/>
  <c r="P17" i="45" s="1"/>
  <c r="O16" i="45"/>
  <c r="P16" i="45" s="1"/>
  <c r="O15" i="45"/>
  <c r="P15" i="45" s="1"/>
  <c r="O14" i="45"/>
  <c r="P14" i="45" s="1"/>
  <c r="O13" i="45"/>
  <c r="P13" i="45" s="1"/>
  <c r="O12" i="45"/>
  <c r="P12" i="45" s="1"/>
  <c r="O11" i="45"/>
  <c r="P11" i="45" s="1"/>
  <c r="O10" i="45"/>
  <c r="P10" i="45" s="1"/>
  <c r="O9" i="45"/>
  <c r="P9" i="45" s="1"/>
  <c r="O8" i="45"/>
  <c r="P8" i="45" s="1"/>
  <c r="O7" i="45"/>
  <c r="P7" i="45" s="1"/>
  <c r="O6" i="45"/>
  <c r="P6" i="45" s="1"/>
  <c r="O5" i="45"/>
  <c r="P5" i="45" s="1"/>
  <c r="O4" i="45"/>
  <c r="P4" i="45" s="1"/>
  <c r="O23" i="44"/>
  <c r="P23" i="44" s="1"/>
  <c r="O22" i="44"/>
  <c r="P22" i="44" s="1"/>
  <c r="O21" i="44"/>
  <c r="P21" i="44" s="1"/>
  <c r="O20" i="44"/>
  <c r="P20" i="44" s="1"/>
  <c r="O19" i="44"/>
  <c r="P19" i="44" s="1"/>
  <c r="O18" i="44"/>
  <c r="P18" i="44" s="1"/>
  <c r="O17" i="44"/>
  <c r="P17" i="44" s="1"/>
  <c r="O16" i="44"/>
  <c r="P16" i="44" s="1"/>
  <c r="O15" i="44"/>
  <c r="P15" i="44" s="1"/>
  <c r="O14" i="44"/>
  <c r="P14" i="44" s="1"/>
  <c r="O13" i="44"/>
  <c r="P13" i="44" s="1"/>
  <c r="O12" i="44"/>
  <c r="P12" i="44" s="1"/>
  <c r="O11" i="44"/>
  <c r="P11" i="44" s="1"/>
  <c r="O10" i="44"/>
  <c r="P10" i="44" s="1"/>
  <c r="O9" i="44"/>
  <c r="P9" i="44" s="1"/>
  <c r="O8" i="44"/>
  <c r="P8" i="44" s="1"/>
  <c r="O7" i="44"/>
  <c r="P7" i="44" s="1"/>
  <c r="O6" i="44"/>
  <c r="P6" i="44" s="1"/>
  <c r="O5" i="44"/>
  <c r="P5" i="44" s="1"/>
  <c r="O4" i="44"/>
  <c r="P4" i="44" s="1"/>
  <c r="O23" i="43"/>
  <c r="P23" i="43" s="1"/>
  <c r="O22" i="43"/>
  <c r="P22" i="43" s="1"/>
  <c r="O21" i="43"/>
  <c r="P21" i="43" s="1"/>
  <c r="O20" i="43"/>
  <c r="P20" i="43" s="1"/>
  <c r="O19" i="43"/>
  <c r="P19" i="43" s="1"/>
  <c r="O18" i="43"/>
  <c r="P18" i="43" s="1"/>
  <c r="O17" i="43"/>
  <c r="P17" i="43" s="1"/>
  <c r="O16" i="43"/>
  <c r="P16" i="43" s="1"/>
  <c r="O15" i="43"/>
  <c r="P15" i="43" s="1"/>
  <c r="O14" i="43"/>
  <c r="P14" i="43" s="1"/>
  <c r="O13" i="43"/>
  <c r="P13" i="43" s="1"/>
  <c r="O12" i="43"/>
  <c r="P12" i="43" s="1"/>
  <c r="O11" i="43"/>
  <c r="P11" i="43" s="1"/>
  <c r="O10" i="43"/>
  <c r="P10" i="43" s="1"/>
  <c r="O9" i="43"/>
  <c r="P9" i="43" s="1"/>
  <c r="O8" i="43"/>
  <c r="P8" i="43" s="1"/>
  <c r="O7" i="43"/>
  <c r="P7" i="43" s="1"/>
  <c r="O6" i="43"/>
  <c r="P6" i="43" s="1"/>
  <c r="O5" i="43"/>
  <c r="P5" i="43" s="1"/>
  <c r="O4" i="43"/>
  <c r="P4" i="43" s="1"/>
  <c r="O23" i="42"/>
  <c r="P23" i="42" s="1"/>
  <c r="O22" i="42"/>
  <c r="P22" i="42" s="1"/>
  <c r="O21" i="42"/>
  <c r="P21" i="42" s="1"/>
  <c r="O20" i="42"/>
  <c r="P20" i="42" s="1"/>
  <c r="O19" i="42"/>
  <c r="P19" i="42" s="1"/>
  <c r="O18" i="42"/>
  <c r="P18" i="42" s="1"/>
  <c r="O17" i="42"/>
  <c r="P17" i="42" s="1"/>
  <c r="O16" i="42"/>
  <c r="P16" i="42" s="1"/>
  <c r="O15" i="42"/>
  <c r="P15" i="42" s="1"/>
  <c r="O14" i="42"/>
  <c r="P14" i="42" s="1"/>
  <c r="O13" i="42"/>
  <c r="P13" i="42" s="1"/>
  <c r="O12" i="42"/>
  <c r="P12" i="42" s="1"/>
  <c r="O11" i="42"/>
  <c r="P11" i="42" s="1"/>
  <c r="O10" i="42"/>
  <c r="P10" i="42" s="1"/>
  <c r="O9" i="42"/>
  <c r="P9" i="42" s="1"/>
  <c r="O8" i="42"/>
  <c r="P8" i="42" s="1"/>
  <c r="O7" i="42"/>
  <c r="P7" i="42" s="1"/>
  <c r="O6" i="42"/>
  <c r="P6" i="42" s="1"/>
  <c r="O5" i="42"/>
  <c r="P5" i="42" s="1"/>
  <c r="O4" i="42"/>
  <c r="P4" i="42" s="1"/>
  <c r="O23" i="41"/>
  <c r="P23" i="41" s="1"/>
  <c r="O22" i="41"/>
  <c r="P22" i="41" s="1"/>
  <c r="O21" i="41"/>
  <c r="P21" i="41" s="1"/>
  <c r="O20" i="41"/>
  <c r="P20" i="41" s="1"/>
  <c r="O19" i="41"/>
  <c r="P19" i="41" s="1"/>
  <c r="O18" i="41"/>
  <c r="P18" i="41" s="1"/>
  <c r="O17" i="41"/>
  <c r="P17" i="41" s="1"/>
  <c r="O16" i="41"/>
  <c r="P16" i="41" s="1"/>
  <c r="O15" i="41"/>
  <c r="P15" i="41" s="1"/>
  <c r="O14" i="41"/>
  <c r="P14" i="41" s="1"/>
  <c r="O13" i="41"/>
  <c r="P13" i="41" s="1"/>
  <c r="O12" i="41"/>
  <c r="P12" i="41" s="1"/>
  <c r="O11" i="41"/>
  <c r="P11" i="41" s="1"/>
  <c r="O10" i="41"/>
  <c r="P10" i="41" s="1"/>
  <c r="O9" i="41"/>
  <c r="P9" i="41" s="1"/>
  <c r="O8" i="41"/>
  <c r="P8" i="41" s="1"/>
  <c r="O7" i="41"/>
  <c r="P7" i="41" s="1"/>
  <c r="O6" i="41"/>
  <c r="P6" i="41" s="1"/>
  <c r="O5" i="41"/>
  <c r="P5" i="41" s="1"/>
  <c r="O4" i="41"/>
  <c r="P4" i="41" s="1"/>
  <c r="O23" i="40"/>
  <c r="P23" i="40" s="1"/>
  <c r="O22" i="40"/>
  <c r="P22" i="40" s="1"/>
  <c r="O21" i="40"/>
  <c r="P21" i="40" s="1"/>
  <c r="O20" i="40"/>
  <c r="P20" i="40" s="1"/>
  <c r="O19" i="40"/>
  <c r="P19" i="40" s="1"/>
  <c r="O18" i="40"/>
  <c r="P18" i="40" s="1"/>
  <c r="O17" i="40"/>
  <c r="P17" i="40" s="1"/>
  <c r="O16" i="40"/>
  <c r="P16" i="40" s="1"/>
  <c r="O15" i="40"/>
  <c r="P15" i="40" s="1"/>
  <c r="O14" i="40"/>
  <c r="P14" i="40" s="1"/>
  <c r="O13" i="40"/>
  <c r="P13" i="40" s="1"/>
  <c r="O12" i="40"/>
  <c r="P12" i="40" s="1"/>
  <c r="O11" i="40"/>
  <c r="P11" i="40" s="1"/>
  <c r="O10" i="40"/>
  <c r="P10" i="40" s="1"/>
  <c r="O9" i="40"/>
  <c r="P9" i="40" s="1"/>
  <c r="O8" i="40"/>
  <c r="P8" i="40" s="1"/>
  <c r="O7" i="40"/>
  <c r="P7" i="40" s="1"/>
  <c r="O6" i="40"/>
  <c r="P6" i="40" s="1"/>
  <c r="O5" i="40"/>
  <c r="P5" i="40" s="1"/>
  <c r="O4" i="40"/>
  <c r="P4" i="40" s="1"/>
  <c r="O23" i="39"/>
  <c r="P23" i="39" s="1"/>
  <c r="O22" i="39"/>
  <c r="P22" i="39" s="1"/>
  <c r="O21" i="39"/>
  <c r="P21" i="39" s="1"/>
  <c r="O20" i="39"/>
  <c r="P20" i="39" s="1"/>
  <c r="O19" i="39"/>
  <c r="P19" i="39" s="1"/>
  <c r="O18" i="39"/>
  <c r="P18" i="39" s="1"/>
  <c r="O17" i="39"/>
  <c r="P17" i="39" s="1"/>
  <c r="O16" i="39"/>
  <c r="P16" i="39" s="1"/>
  <c r="O15" i="39"/>
  <c r="P15" i="39" s="1"/>
  <c r="O14" i="39"/>
  <c r="P14" i="39" s="1"/>
  <c r="O13" i="39"/>
  <c r="P13" i="39" s="1"/>
  <c r="O12" i="39"/>
  <c r="P12" i="39" s="1"/>
  <c r="O11" i="39"/>
  <c r="P11" i="39" s="1"/>
  <c r="O10" i="39"/>
  <c r="P10" i="39" s="1"/>
  <c r="O9" i="39"/>
  <c r="P9" i="39" s="1"/>
  <c r="O8" i="39"/>
  <c r="P8" i="39" s="1"/>
  <c r="O7" i="39"/>
  <c r="P7" i="39" s="1"/>
  <c r="O6" i="39"/>
  <c r="P6" i="39" s="1"/>
  <c r="O5" i="39"/>
  <c r="P5" i="39" s="1"/>
  <c r="O4" i="39"/>
  <c r="P4" i="39" s="1"/>
  <c r="O23" i="38"/>
  <c r="P23" i="38" s="1"/>
  <c r="O22" i="38"/>
  <c r="P22" i="38" s="1"/>
  <c r="O21" i="38"/>
  <c r="P21" i="38" s="1"/>
  <c r="O20" i="38"/>
  <c r="P20" i="38" s="1"/>
  <c r="O19" i="38"/>
  <c r="P19" i="38" s="1"/>
  <c r="O18" i="38"/>
  <c r="P18" i="38" s="1"/>
  <c r="O17" i="38"/>
  <c r="P17" i="38" s="1"/>
  <c r="O16" i="38"/>
  <c r="P16" i="38" s="1"/>
  <c r="O15" i="38"/>
  <c r="P15" i="38" s="1"/>
  <c r="O14" i="38"/>
  <c r="P14" i="38" s="1"/>
  <c r="O13" i="38"/>
  <c r="P13" i="38" s="1"/>
  <c r="O12" i="38"/>
  <c r="P12" i="38" s="1"/>
  <c r="O11" i="38"/>
  <c r="P11" i="38" s="1"/>
  <c r="O10" i="38"/>
  <c r="P10" i="38" s="1"/>
  <c r="O9" i="38"/>
  <c r="P9" i="38" s="1"/>
  <c r="O8" i="38"/>
  <c r="P8" i="38" s="1"/>
  <c r="O7" i="38"/>
  <c r="P7" i="38" s="1"/>
  <c r="O6" i="38"/>
  <c r="P6" i="38" s="1"/>
  <c r="O5" i="38"/>
  <c r="P5" i="38" s="1"/>
  <c r="O4" i="38"/>
  <c r="P4" i="38" s="1"/>
  <c r="O23" i="37"/>
  <c r="P23" i="37" s="1"/>
  <c r="O22" i="37"/>
  <c r="P22" i="37" s="1"/>
  <c r="O21" i="37"/>
  <c r="P21" i="37" s="1"/>
  <c r="O20" i="37"/>
  <c r="P20" i="37" s="1"/>
  <c r="O19" i="37"/>
  <c r="P19" i="37" s="1"/>
  <c r="O18" i="37"/>
  <c r="P18" i="37" s="1"/>
  <c r="O17" i="37"/>
  <c r="P17" i="37" s="1"/>
  <c r="O16" i="37"/>
  <c r="P16" i="37" s="1"/>
  <c r="O15" i="37"/>
  <c r="P15" i="37" s="1"/>
  <c r="O14" i="37"/>
  <c r="P14" i="37" s="1"/>
  <c r="O13" i="37"/>
  <c r="P13" i="37" s="1"/>
  <c r="O12" i="37"/>
  <c r="P12" i="37" s="1"/>
  <c r="O11" i="37"/>
  <c r="P11" i="37" s="1"/>
  <c r="O10" i="37"/>
  <c r="P10" i="37" s="1"/>
  <c r="O9" i="37"/>
  <c r="P9" i="37" s="1"/>
  <c r="O8" i="37"/>
  <c r="P8" i="37" s="1"/>
  <c r="O7" i="37"/>
  <c r="P7" i="37" s="1"/>
  <c r="O6" i="37"/>
  <c r="P6" i="37" s="1"/>
  <c r="O5" i="37"/>
  <c r="P5" i="37" s="1"/>
  <c r="O4" i="37"/>
  <c r="P4" i="37" s="1"/>
  <c r="O23" i="35"/>
  <c r="P23" i="35" s="1"/>
  <c r="O22" i="35"/>
  <c r="P22" i="35" s="1"/>
  <c r="O21" i="35"/>
  <c r="P21" i="35" s="1"/>
  <c r="O20" i="35"/>
  <c r="P20" i="35" s="1"/>
  <c r="O19" i="35"/>
  <c r="P19" i="35" s="1"/>
  <c r="O18" i="35"/>
  <c r="P18" i="35" s="1"/>
  <c r="O17" i="35"/>
  <c r="P17" i="35" s="1"/>
  <c r="O16" i="35"/>
  <c r="P16" i="35" s="1"/>
  <c r="O15" i="35"/>
  <c r="P15" i="35" s="1"/>
  <c r="O14" i="35"/>
  <c r="P14" i="35" s="1"/>
  <c r="O13" i="35"/>
  <c r="P13" i="35" s="1"/>
  <c r="O12" i="35"/>
  <c r="P12" i="35" s="1"/>
  <c r="O11" i="35"/>
  <c r="P11" i="35" s="1"/>
  <c r="O10" i="35"/>
  <c r="P10" i="35" s="1"/>
  <c r="O9" i="35"/>
  <c r="P9" i="35" s="1"/>
  <c r="O8" i="35"/>
  <c r="P8" i="35" s="1"/>
  <c r="O7" i="35"/>
  <c r="P7" i="35" s="1"/>
  <c r="O6" i="35"/>
  <c r="P6" i="35" s="1"/>
  <c r="O5" i="35"/>
  <c r="P5" i="35" s="1"/>
  <c r="O4" i="35"/>
  <c r="P4" i="35" s="1"/>
  <c r="O23" i="34"/>
  <c r="P23" i="34" s="1"/>
  <c r="O22" i="34"/>
  <c r="P22" i="34" s="1"/>
  <c r="O21" i="34"/>
  <c r="P21" i="34" s="1"/>
  <c r="O20" i="34"/>
  <c r="P20" i="34" s="1"/>
  <c r="O19" i="34"/>
  <c r="P19" i="34" s="1"/>
  <c r="O18" i="34"/>
  <c r="P18" i="34" s="1"/>
  <c r="O17" i="34"/>
  <c r="P17" i="34" s="1"/>
  <c r="O16" i="34"/>
  <c r="P16" i="34" s="1"/>
  <c r="O15" i="34"/>
  <c r="P15" i="34" s="1"/>
  <c r="O14" i="34"/>
  <c r="P14" i="34" s="1"/>
  <c r="O13" i="34"/>
  <c r="P13" i="34" s="1"/>
  <c r="O12" i="34"/>
  <c r="P12" i="34" s="1"/>
  <c r="O11" i="34"/>
  <c r="P11" i="34" s="1"/>
  <c r="O10" i="34"/>
  <c r="P10" i="34" s="1"/>
  <c r="O9" i="34"/>
  <c r="P9" i="34" s="1"/>
  <c r="O8" i="34"/>
  <c r="P8" i="34" s="1"/>
  <c r="O7" i="34"/>
  <c r="P7" i="34" s="1"/>
  <c r="O6" i="34"/>
  <c r="P6" i="34" s="1"/>
  <c r="O5" i="34"/>
  <c r="P5" i="34" s="1"/>
  <c r="O4" i="34"/>
  <c r="P4" i="34" s="1"/>
  <c r="O23" i="33"/>
  <c r="P23" i="33" s="1"/>
  <c r="O22" i="33"/>
  <c r="P22" i="33" s="1"/>
  <c r="O21" i="33"/>
  <c r="P21" i="33" s="1"/>
  <c r="O20" i="33"/>
  <c r="P20" i="33" s="1"/>
  <c r="O19" i="33"/>
  <c r="P19" i="33" s="1"/>
  <c r="O18" i="33"/>
  <c r="P18" i="33" s="1"/>
  <c r="O17" i="33"/>
  <c r="P17" i="33" s="1"/>
  <c r="O16" i="33"/>
  <c r="P16" i="33" s="1"/>
  <c r="O15" i="33"/>
  <c r="P15" i="33" s="1"/>
  <c r="O14" i="33"/>
  <c r="P14" i="33" s="1"/>
  <c r="O13" i="33"/>
  <c r="P13" i="33" s="1"/>
  <c r="O12" i="33"/>
  <c r="P12" i="33" s="1"/>
  <c r="O11" i="33"/>
  <c r="P11" i="33" s="1"/>
  <c r="O10" i="33"/>
  <c r="P10" i="33" s="1"/>
  <c r="O9" i="33"/>
  <c r="P9" i="33" s="1"/>
  <c r="O8" i="33"/>
  <c r="P8" i="33" s="1"/>
  <c r="O7" i="33"/>
  <c r="P7" i="33" s="1"/>
  <c r="O6" i="33"/>
  <c r="P6" i="33" s="1"/>
  <c r="O5" i="33"/>
  <c r="P5" i="33" s="1"/>
  <c r="O4" i="33"/>
  <c r="P4" i="33" s="1"/>
  <c r="O23" i="32"/>
  <c r="P23" i="32" s="1"/>
  <c r="O22" i="32"/>
  <c r="P22" i="32" s="1"/>
  <c r="O21" i="32"/>
  <c r="P21" i="32" s="1"/>
  <c r="O20" i="32"/>
  <c r="P20" i="32" s="1"/>
  <c r="O19" i="32"/>
  <c r="P19" i="32" s="1"/>
  <c r="O18" i="32"/>
  <c r="P18" i="32" s="1"/>
  <c r="O17" i="32"/>
  <c r="P17" i="32" s="1"/>
  <c r="O16" i="32"/>
  <c r="P16" i="32" s="1"/>
  <c r="O15" i="32"/>
  <c r="P15" i="32" s="1"/>
  <c r="O14" i="32"/>
  <c r="P14" i="32" s="1"/>
  <c r="O13" i="32"/>
  <c r="P13" i="32" s="1"/>
  <c r="O12" i="32"/>
  <c r="P12" i="32" s="1"/>
  <c r="O11" i="32"/>
  <c r="P11" i="32" s="1"/>
  <c r="O10" i="32"/>
  <c r="P10" i="32" s="1"/>
  <c r="O9" i="32"/>
  <c r="P9" i="32" s="1"/>
  <c r="O8" i="32"/>
  <c r="P8" i="32" s="1"/>
  <c r="O7" i="32"/>
  <c r="P7" i="32" s="1"/>
  <c r="O6" i="32"/>
  <c r="P6" i="32" s="1"/>
  <c r="O5" i="32"/>
  <c r="P5" i="32" s="1"/>
  <c r="O4" i="32"/>
  <c r="P4" i="32" s="1"/>
  <c r="O23" i="31"/>
  <c r="P23" i="31" s="1"/>
  <c r="O22" i="31"/>
  <c r="P22" i="31" s="1"/>
  <c r="O21" i="31"/>
  <c r="P21" i="31" s="1"/>
  <c r="O20" i="31"/>
  <c r="P20" i="31" s="1"/>
  <c r="O19" i="31"/>
  <c r="P19" i="31" s="1"/>
  <c r="O18" i="31"/>
  <c r="P18" i="31" s="1"/>
  <c r="O17" i="31"/>
  <c r="P17" i="31" s="1"/>
  <c r="O16" i="31"/>
  <c r="P16" i="31" s="1"/>
  <c r="O15" i="31"/>
  <c r="P15" i="31" s="1"/>
  <c r="O14" i="31"/>
  <c r="P14" i="31" s="1"/>
  <c r="O13" i="31"/>
  <c r="P13" i="31" s="1"/>
  <c r="O12" i="31"/>
  <c r="P12" i="31" s="1"/>
  <c r="O11" i="31"/>
  <c r="P11" i="31" s="1"/>
  <c r="O10" i="31"/>
  <c r="P10" i="31" s="1"/>
  <c r="O9" i="31"/>
  <c r="P9" i="31" s="1"/>
  <c r="O8" i="31"/>
  <c r="P8" i="31" s="1"/>
  <c r="O7" i="31"/>
  <c r="P7" i="31" s="1"/>
  <c r="O6" i="31"/>
  <c r="P6" i="31" s="1"/>
  <c r="O5" i="31"/>
  <c r="P5" i="31" s="1"/>
  <c r="O4" i="31"/>
  <c r="P4" i="31" s="1"/>
  <c r="O23" i="30"/>
  <c r="P23" i="30" s="1"/>
  <c r="O22" i="30"/>
  <c r="P22" i="30" s="1"/>
  <c r="O21" i="30"/>
  <c r="P21" i="30" s="1"/>
  <c r="O20" i="30"/>
  <c r="P20" i="30" s="1"/>
  <c r="O19" i="30"/>
  <c r="P19" i="30" s="1"/>
  <c r="O18" i="30"/>
  <c r="P18" i="30" s="1"/>
  <c r="O17" i="30"/>
  <c r="P17" i="30" s="1"/>
  <c r="O16" i="30"/>
  <c r="P16" i="30" s="1"/>
  <c r="O15" i="30"/>
  <c r="P15" i="30" s="1"/>
  <c r="O14" i="30"/>
  <c r="P14" i="30" s="1"/>
  <c r="O13" i="30"/>
  <c r="P13" i="30" s="1"/>
  <c r="O12" i="30"/>
  <c r="P12" i="30" s="1"/>
  <c r="O11" i="30"/>
  <c r="P11" i="30" s="1"/>
  <c r="O10" i="30"/>
  <c r="P10" i="30" s="1"/>
  <c r="O9" i="30"/>
  <c r="P9" i="30" s="1"/>
  <c r="O8" i="30"/>
  <c r="P8" i="30" s="1"/>
  <c r="O7" i="30"/>
  <c r="P7" i="30" s="1"/>
  <c r="O6" i="30"/>
  <c r="P6" i="30" s="1"/>
  <c r="O5" i="30"/>
  <c r="P5" i="30" s="1"/>
  <c r="O4" i="30"/>
  <c r="P4" i="30" s="1"/>
  <c r="O23" i="29"/>
  <c r="P23" i="29" s="1"/>
  <c r="O22" i="29"/>
  <c r="P22" i="29" s="1"/>
  <c r="O21" i="29"/>
  <c r="P21" i="29" s="1"/>
  <c r="O20" i="29"/>
  <c r="P20" i="29" s="1"/>
  <c r="O19" i="29"/>
  <c r="P19" i="29" s="1"/>
  <c r="O18" i="29"/>
  <c r="P18" i="29" s="1"/>
  <c r="O17" i="29"/>
  <c r="P17" i="29" s="1"/>
  <c r="O16" i="29"/>
  <c r="P16" i="29" s="1"/>
  <c r="O15" i="29"/>
  <c r="P15" i="29" s="1"/>
  <c r="O14" i="29"/>
  <c r="P14" i="29" s="1"/>
  <c r="O13" i="29"/>
  <c r="P13" i="29" s="1"/>
  <c r="O12" i="29"/>
  <c r="P12" i="29" s="1"/>
  <c r="O11" i="29"/>
  <c r="P11" i="29" s="1"/>
  <c r="O10" i="29"/>
  <c r="P10" i="29" s="1"/>
  <c r="O9" i="29"/>
  <c r="P9" i="29" s="1"/>
  <c r="O8" i="29"/>
  <c r="P8" i="29" s="1"/>
  <c r="O7" i="29"/>
  <c r="P7" i="29" s="1"/>
  <c r="O6" i="29"/>
  <c r="P6" i="29" s="1"/>
  <c r="O5" i="29"/>
  <c r="P5" i="29" s="1"/>
  <c r="O4" i="29"/>
  <c r="P4" i="29" s="1"/>
  <c r="O23" i="28"/>
  <c r="P23" i="28" s="1"/>
  <c r="O22" i="28"/>
  <c r="P22" i="28" s="1"/>
  <c r="O21" i="28"/>
  <c r="P21" i="28" s="1"/>
  <c r="O20" i="28"/>
  <c r="P20" i="28" s="1"/>
  <c r="O19" i="28"/>
  <c r="P19" i="28" s="1"/>
  <c r="O18" i="28"/>
  <c r="P18" i="28" s="1"/>
  <c r="O17" i="28"/>
  <c r="P17" i="28" s="1"/>
  <c r="O16" i="28"/>
  <c r="P16" i="28" s="1"/>
  <c r="O15" i="28"/>
  <c r="P15" i="28" s="1"/>
  <c r="O14" i="28"/>
  <c r="P14" i="28" s="1"/>
  <c r="O13" i="28"/>
  <c r="P13" i="28" s="1"/>
  <c r="O12" i="28"/>
  <c r="P12" i="28" s="1"/>
  <c r="O11" i="28"/>
  <c r="P11" i="28" s="1"/>
  <c r="O10" i="28"/>
  <c r="P10" i="28" s="1"/>
  <c r="O9" i="28"/>
  <c r="P9" i="28" s="1"/>
  <c r="O8" i="28"/>
  <c r="P8" i="28" s="1"/>
  <c r="O7" i="28"/>
  <c r="P7" i="28" s="1"/>
  <c r="O6" i="28"/>
  <c r="P6" i="28" s="1"/>
  <c r="O5" i="28"/>
  <c r="P5" i="28" s="1"/>
  <c r="O4" i="28"/>
  <c r="O23" i="27"/>
  <c r="P23" i="27" s="1"/>
  <c r="O22" i="27"/>
  <c r="P22" i="27" s="1"/>
  <c r="O21" i="27"/>
  <c r="P21" i="27" s="1"/>
  <c r="O20" i="27"/>
  <c r="P20" i="27" s="1"/>
  <c r="O19" i="27"/>
  <c r="P19" i="27" s="1"/>
  <c r="O18" i="27"/>
  <c r="P18" i="27" s="1"/>
  <c r="O17" i="27"/>
  <c r="P17" i="27" s="1"/>
  <c r="O16" i="27"/>
  <c r="P16" i="27" s="1"/>
  <c r="O15" i="27"/>
  <c r="P15" i="27" s="1"/>
  <c r="O14" i="27"/>
  <c r="P14" i="27" s="1"/>
  <c r="O13" i="27"/>
  <c r="P13" i="27" s="1"/>
  <c r="O12" i="27"/>
  <c r="P12" i="27" s="1"/>
  <c r="O11" i="27"/>
  <c r="P11" i="27" s="1"/>
  <c r="O10" i="27"/>
  <c r="P10" i="27" s="1"/>
  <c r="O9" i="27"/>
  <c r="P9" i="27" s="1"/>
  <c r="O8" i="27"/>
  <c r="P8" i="27" s="1"/>
  <c r="O7" i="27"/>
  <c r="P7" i="27" s="1"/>
  <c r="O6" i="27"/>
  <c r="P6" i="27" s="1"/>
  <c r="O5" i="27"/>
  <c r="P5" i="27" s="1"/>
  <c r="O4" i="27"/>
  <c r="O23" i="26"/>
  <c r="P23" i="26" s="1"/>
  <c r="O22" i="26"/>
  <c r="P22" i="26" s="1"/>
  <c r="O21" i="26"/>
  <c r="P21" i="26" s="1"/>
  <c r="O20" i="26"/>
  <c r="P20" i="26" s="1"/>
  <c r="O19" i="26"/>
  <c r="P19" i="26" s="1"/>
  <c r="O18" i="26"/>
  <c r="P18" i="26" s="1"/>
  <c r="O17" i="26"/>
  <c r="P17" i="26" s="1"/>
  <c r="O16" i="26"/>
  <c r="P16" i="26" s="1"/>
  <c r="O15" i="26"/>
  <c r="P15" i="26" s="1"/>
  <c r="O14" i="26"/>
  <c r="P14" i="26" s="1"/>
  <c r="O13" i="26"/>
  <c r="P13" i="26" s="1"/>
  <c r="O12" i="26"/>
  <c r="P12" i="26" s="1"/>
  <c r="O11" i="26"/>
  <c r="P11" i="26" s="1"/>
  <c r="O10" i="26"/>
  <c r="P10" i="26" s="1"/>
  <c r="O9" i="26"/>
  <c r="P9" i="26" s="1"/>
  <c r="O8" i="26"/>
  <c r="P8" i="26" s="1"/>
  <c r="O7" i="26"/>
  <c r="P7" i="26" s="1"/>
  <c r="O6" i="26"/>
  <c r="P6" i="26" s="1"/>
  <c r="O5" i="26"/>
  <c r="P5" i="26" s="1"/>
  <c r="O4" i="26"/>
  <c r="O23" i="25"/>
  <c r="P23" i="25" s="1"/>
  <c r="O22" i="25"/>
  <c r="P22" i="25" s="1"/>
  <c r="O21" i="25"/>
  <c r="P21" i="25" s="1"/>
  <c r="O20" i="25"/>
  <c r="P20" i="25" s="1"/>
  <c r="O19" i="25"/>
  <c r="P19" i="25" s="1"/>
  <c r="O18" i="25"/>
  <c r="P18" i="25" s="1"/>
  <c r="O17" i="25"/>
  <c r="P17" i="25" s="1"/>
  <c r="O16" i="25"/>
  <c r="P16" i="25" s="1"/>
  <c r="O15" i="25"/>
  <c r="P15" i="25" s="1"/>
  <c r="O14" i="25"/>
  <c r="P14" i="25" s="1"/>
  <c r="O13" i="25"/>
  <c r="P13" i="25" s="1"/>
  <c r="O12" i="25"/>
  <c r="P12" i="25" s="1"/>
  <c r="O11" i="25"/>
  <c r="P11" i="25" s="1"/>
  <c r="O10" i="25"/>
  <c r="P10" i="25" s="1"/>
  <c r="O9" i="25"/>
  <c r="P9" i="25" s="1"/>
  <c r="O8" i="25"/>
  <c r="P8" i="25" s="1"/>
  <c r="O7" i="25"/>
  <c r="P7" i="25" s="1"/>
  <c r="O6" i="25"/>
  <c r="P6" i="25" s="1"/>
  <c r="O5" i="25"/>
  <c r="P5" i="25" s="1"/>
  <c r="O4" i="25"/>
  <c r="P4" i="25" s="1"/>
  <c r="O23" i="24"/>
  <c r="P23" i="24" s="1"/>
  <c r="O22" i="24"/>
  <c r="P22" i="24" s="1"/>
  <c r="O21" i="24"/>
  <c r="P21" i="24" s="1"/>
  <c r="O20" i="24"/>
  <c r="P20" i="24" s="1"/>
  <c r="O19" i="24"/>
  <c r="P19" i="24" s="1"/>
  <c r="O18" i="24"/>
  <c r="P18" i="24" s="1"/>
  <c r="O17" i="24"/>
  <c r="P17" i="24" s="1"/>
  <c r="O16" i="24"/>
  <c r="P16" i="24" s="1"/>
  <c r="O15" i="24"/>
  <c r="P15" i="24" s="1"/>
  <c r="O14" i="24"/>
  <c r="P14" i="24" s="1"/>
  <c r="O13" i="24"/>
  <c r="P13" i="24" s="1"/>
  <c r="O12" i="24"/>
  <c r="P12" i="24" s="1"/>
  <c r="O11" i="24"/>
  <c r="P11" i="24" s="1"/>
  <c r="O10" i="24"/>
  <c r="P10" i="24" s="1"/>
  <c r="O9" i="24"/>
  <c r="P9" i="24" s="1"/>
  <c r="O8" i="24"/>
  <c r="P8" i="24" s="1"/>
  <c r="O7" i="24"/>
  <c r="P7" i="24" s="1"/>
  <c r="O6" i="24"/>
  <c r="P6" i="24" s="1"/>
  <c r="O5" i="24"/>
  <c r="P5" i="24" s="1"/>
  <c r="O4" i="24"/>
  <c r="O23" i="23"/>
  <c r="P23" i="23" s="1"/>
  <c r="O22" i="23"/>
  <c r="P22" i="23" s="1"/>
  <c r="O21" i="23"/>
  <c r="P21" i="23" s="1"/>
  <c r="O20" i="23"/>
  <c r="P20" i="23" s="1"/>
  <c r="O19" i="23"/>
  <c r="P19" i="23" s="1"/>
  <c r="O18" i="23"/>
  <c r="P18" i="23" s="1"/>
  <c r="O17" i="23"/>
  <c r="P17" i="23" s="1"/>
  <c r="O16" i="23"/>
  <c r="P16" i="23" s="1"/>
  <c r="O15" i="23"/>
  <c r="P15" i="23" s="1"/>
  <c r="O14" i="23"/>
  <c r="P14" i="23" s="1"/>
  <c r="O13" i="23"/>
  <c r="P13" i="23" s="1"/>
  <c r="O12" i="23"/>
  <c r="P12" i="23" s="1"/>
  <c r="O11" i="23"/>
  <c r="P11" i="23" s="1"/>
  <c r="O10" i="23"/>
  <c r="P10" i="23" s="1"/>
  <c r="O9" i="23"/>
  <c r="P9" i="23" s="1"/>
  <c r="O8" i="23"/>
  <c r="P8" i="23" s="1"/>
  <c r="O7" i="23"/>
  <c r="P7" i="23" s="1"/>
  <c r="O6" i="23"/>
  <c r="P6" i="23" s="1"/>
  <c r="O5" i="23"/>
  <c r="P5" i="23" s="1"/>
  <c r="O4" i="23"/>
  <c r="O23" i="22"/>
  <c r="P23" i="22" s="1"/>
  <c r="O22" i="22"/>
  <c r="P22" i="22" s="1"/>
  <c r="O21" i="22"/>
  <c r="P21" i="22" s="1"/>
  <c r="O20" i="22"/>
  <c r="P20" i="22" s="1"/>
  <c r="O19" i="22"/>
  <c r="P19" i="22" s="1"/>
  <c r="O18" i="22"/>
  <c r="P18" i="22" s="1"/>
  <c r="O17" i="22"/>
  <c r="P17" i="22" s="1"/>
  <c r="O16" i="22"/>
  <c r="P16" i="22" s="1"/>
  <c r="O15" i="22"/>
  <c r="P15" i="22" s="1"/>
  <c r="O14" i="22"/>
  <c r="P14" i="22" s="1"/>
  <c r="O13" i="22"/>
  <c r="P13" i="22" s="1"/>
  <c r="O12" i="22"/>
  <c r="P12" i="22" s="1"/>
  <c r="O11" i="22"/>
  <c r="P11" i="22" s="1"/>
  <c r="O10" i="22"/>
  <c r="P10" i="22" s="1"/>
  <c r="O9" i="22"/>
  <c r="P9" i="22" s="1"/>
  <c r="O8" i="22"/>
  <c r="P8" i="22" s="1"/>
  <c r="O7" i="22"/>
  <c r="P7" i="22" s="1"/>
  <c r="O6" i="22"/>
  <c r="P6" i="22" s="1"/>
  <c r="O5" i="22"/>
  <c r="P5" i="22" s="1"/>
  <c r="O4" i="22"/>
  <c r="O23" i="21"/>
  <c r="P23" i="21" s="1"/>
  <c r="O22" i="21"/>
  <c r="P22" i="21" s="1"/>
  <c r="O21" i="21"/>
  <c r="P21" i="21" s="1"/>
  <c r="O20" i="21"/>
  <c r="P20" i="21" s="1"/>
  <c r="O19" i="21"/>
  <c r="P19" i="21" s="1"/>
  <c r="O18" i="21"/>
  <c r="P18" i="21" s="1"/>
  <c r="O17" i="21"/>
  <c r="P17" i="21" s="1"/>
  <c r="O16" i="21"/>
  <c r="P16" i="21" s="1"/>
  <c r="O15" i="21"/>
  <c r="P15" i="21" s="1"/>
  <c r="O14" i="21"/>
  <c r="P14" i="21" s="1"/>
  <c r="O13" i="21"/>
  <c r="P13" i="21" s="1"/>
  <c r="O12" i="21"/>
  <c r="P12" i="21" s="1"/>
  <c r="O11" i="21"/>
  <c r="P11" i="21" s="1"/>
  <c r="O10" i="21"/>
  <c r="P10" i="21" s="1"/>
  <c r="O9" i="21"/>
  <c r="P9" i="21" s="1"/>
  <c r="O8" i="21"/>
  <c r="P8" i="21" s="1"/>
  <c r="O7" i="21"/>
  <c r="P7" i="21" s="1"/>
  <c r="O6" i="21"/>
  <c r="P6" i="21" s="1"/>
  <c r="O5" i="21"/>
  <c r="P5" i="21" s="1"/>
  <c r="O4" i="21"/>
  <c r="P4" i="21" s="1"/>
  <c r="O23" i="20"/>
  <c r="P23" i="20" s="1"/>
  <c r="O22" i="20"/>
  <c r="P22" i="20" s="1"/>
  <c r="O21" i="20"/>
  <c r="P21" i="20" s="1"/>
  <c r="O20" i="20"/>
  <c r="P20" i="20" s="1"/>
  <c r="O19" i="20"/>
  <c r="P19" i="20" s="1"/>
  <c r="O18" i="20"/>
  <c r="P18" i="20" s="1"/>
  <c r="O17" i="20"/>
  <c r="P17" i="20" s="1"/>
  <c r="O16" i="20"/>
  <c r="P16" i="20" s="1"/>
  <c r="O15" i="20"/>
  <c r="P15" i="20" s="1"/>
  <c r="O14" i="20"/>
  <c r="P14" i="20" s="1"/>
  <c r="O13" i="20"/>
  <c r="P13" i="20" s="1"/>
  <c r="O12" i="20"/>
  <c r="P12" i="20" s="1"/>
  <c r="O11" i="20"/>
  <c r="P11" i="20" s="1"/>
  <c r="O10" i="20"/>
  <c r="P10" i="20" s="1"/>
  <c r="O9" i="20"/>
  <c r="P9" i="20" s="1"/>
  <c r="O8" i="20"/>
  <c r="P8" i="20" s="1"/>
  <c r="O7" i="20"/>
  <c r="P7" i="20" s="1"/>
  <c r="O6" i="20"/>
  <c r="P6" i="20" s="1"/>
  <c r="O5" i="20"/>
  <c r="P5" i="20" s="1"/>
  <c r="O4" i="20"/>
  <c r="O23" i="19"/>
  <c r="P23" i="19" s="1"/>
  <c r="O22" i="19"/>
  <c r="P22" i="19" s="1"/>
  <c r="O21" i="19"/>
  <c r="P21" i="19" s="1"/>
  <c r="O20" i="19"/>
  <c r="P20" i="19" s="1"/>
  <c r="O19" i="19"/>
  <c r="P19" i="19" s="1"/>
  <c r="O18" i="19"/>
  <c r="P18" i="19" s="1"/>
  <c r="O17" i="19"/>
  <c r="P17" i="19" s="1"/>
  <c r="O16" i="19"/>
  <c r="P16" i="19" s="1"/>
  <c r="O15" i="19"/>
  <c r="P15" i="19" s="1"/>
  <c r="O14" i="19"/>
  <c r="P14" i="19" s="1"/>
  <c r="O13" i="19"/>
  <c r="P13" i="19" s="1"/>
  <c r="O12" i="19"/>
  <c r="P12" i="19" s="1"/>
  <c r="O11" i="19"/>
  <c r="P11" i="19" s="1"/>
  <c r="O10" i="19"/>
  <c r="P10" i="19" s="1"/>
  <c r="O9" i="19"/>
  <c r="P9" i="19" s="1"/>
  <c r="O8" i="19"/>
  <c r="P8" i="19" s="1"/>
  <c r="O7" i="19"/>
  <c r="P7" i="19" s="1"/>
  <c r="O6" i="19"/>
  <c r="P6" i="19" s="1"/>
  <c r="O5" i="19"/>
  <c r="P5" i="19" s="1"/>
  <c r="O4" i="19"/>
  <c r="O23" i="18"/>
  <c r="P23" i="18" s="1"/>
  <c r="O22" i="18"/>
  <c r="P22" i="18" s="1"/>
  <c r="O21" i="18"/>
  <c r="P21" i="18" s="1"/>
  <c r="O20" i="18"/>
  <c r="P20" i="18" s="1"/>
  <c r="O19" i="18"/>
  <c r="P19" i="18" s="1"/>
  <c r="O18" i="18"/>
  <c r="P18" i="18" s="1"/>
  <c r="O17" i="18"/>
  <c r="P17" i="18" s="1"/>
  <c r="O16" i="18"/>
  <c r="P16" i="18" s="1"/>
  <c r="O15" i="18"/>
  <c r="P15" i="18" s="1"/>
  <c r="O14" i="18"/>
  <c r="P14" i="18" s="1"/>
  <c r="O13" i="18"/>
  <c r="P13" i="18" s="1"/>
  <c r="O12" i="18"/>
  <c r="P12" i="18" s="1"/>
  <c r="O11" i="18"/>
  <c r="P11" i="18" s="1"/>
  <c r="O10" i="18"/>
  <c r="P10" i="18" s="1"/>
  <c r="O9" i="18"/>
  <c r="P9" i="18" s="1"/>
  <c r="O8" i="18"/>
  <c r="P8" i="18" s="1"/>
  <c r="O7" i="18"/>
  <c r="P7" i="18" s="1"/>
  <c r="O6" i="18"/>
  <c r="P6" i="18" s="1"/>
  <c r="O5" i="18"/>
  <c r="P5" i="18" s="1"/>
  <c r="O4" i="18"/>
  <c r="M22" i="4"/>
  <c r="M21" i="4"/>
  <c r="M18" i="4"/>
  <c r="M17" i="4"/>
  <c r="M14" i="4"/>
  <c r="M13" i="4"/>
  <c r="M10" i="4"/>
  <c r="M5" i="4"/>
  <c r="Q14" i="79" l="1"/>
  <c r="C14" i="79" s="1"/>
  <c r="M14" i="79" s="1"/>
  <c r="Q13" i="55"/>
  <c r="C13" i="55" s="1"/>
  <c r="M13" i="55" s="1"/>
  <c r="Q10" i="76"/>
  <c r="C10" i="76" s="1"/>
  <c r="M10" i="76" s="1"/>
  <c r="Q8" i="39"/>
  <c r="C8" i="39" s="1"/>
  <c r="M8" i="39" s="1"/>
  <c r="Q13" i="60"/>
  <c r="C13" i="60" s="1"/>
  <c r="M13" i="60" s="1"/>
  <c r="Q12" i="63"/>
  <c r="C12" i="63" s="1"/>
  <c r="M12" i="63" s="1"/>
  <c r="Q7" i="70"/>
  <c r="C7" i="70" s="1"/>
  <c r="M7" i="70" s="1"/>
  <c r="Q10" i="71"/>
  <c r="C10" i="71" s="1"/>
  <c r="M10" i="71" s="1"/>
  <c r="Q5" i="73"/>
  <c r="C5" i="73" s="1"/>
  <c r="M5" i="73" s="1"/>
  <c r="Q11" i="74"/>
  <c r="C11" i="74" s="1"/>
  <c r="M11" i="74" s="1"/>
  <c r="Q16" i="37"/>
  <c r="C16" i="37" s="1"/>
  <c r="M16" i="37" s="1"/>
  <c r="Q8" i="76"/>
  <c r="C8" i="76" s="1"/>
  <c r="M8" i="76" s="1"/>
  <c r="Q22" i="77"/>
  <c r="C22" i="77" s="1"/>
  <c r="M22" i="77" s="1"/>
  <c r="Q4" i="37"/>
  <c r="C4" i="37" s="1"/>
  <c r="M4" i="37" s="1"/>
  <c r="Q12" i="35"/>
  <c r="C12" i="35" s="1"/>
  <c r="M12" i="35" s="1"/>
  <c r="Q16" i="35"/>
  <c r="C16" i="35" s="1"/>
  <c r="M16" i="35" s="1"/>
  <c r="Q20" i="37"/>
  <c r="C20" i="37" s="1"/>
  <c r="M20" i="37" s="1"/>
  <c r="Q4" i="38"/>
  <c r="C4" i="38" s="1"/>
  <c r="M4" i="38" s="1"/>
  <c r="Q12" i="38"/>
  <c r="C12" i="38" s="1"/>
  <c r="M12" i="38" s="1"/>
  <c r="Q11" i="35"/>
  <c r="C11" i="35" s="1"/>
  <c r="M11" i="35" s="1"/>
  <c r="Q20" i="35"/>
  <c r="C20" i="35" s="1"/>
  <c r="M20" i="35" s="1"/>
  <c r="Q12" i="37"/>
  <c r="C12" i="37" s="1"/>
  <c r="M12" i="37" s="1"/>
  <c r="Q19" i="37"/>
  <c r="C19" i="37" s="1"/>
  <c r="M19" i="37" s="1"/>
  <c r="Q8" i="38"/>
  <c r="C8" i="38" s="1"/>
  <c r="M8" i="38" s="1"/>
  <c r="Q15" i="38"/>
  <c r="C15" i="38" s="1"/>
  <c r="M15" i="38" s="1"/>
  <c r="Q11" i="39"/>
  <c r="C11" i="39" s="1"/>
  <c r="M11" i="39" s="1"/>
  <c r="Q21" i="76"/>
  <c r="C21" i="76" s="1"/>
  <c r="M21" i="76" s="1"/>
  <c r="Q21" i="21"/>
  <c r="C21" i="21" s="1"/>
  <c r="M21" i="21" s="1"/>
  <c r="Q19" i="30"/>
  <c r="C19" i="30" s="1"/>
  <c r="M19" i="30" s="1"/>
  <c r="Q15" i="31"/>
  <c r="C15" i="31" s="1"/>
  <c r="M15" i="31" s="1"/>
  <c r="Q15" i="35"/>
  <c r="C15" i="35" s="1"/>
  <c r="M15" i="35" s="1"/>
  <c r="Q7" i="37"/>
  <c r="C7" i="37" s="1"/>
  <c r="M7" i="37" s="1"/>
  <c r="Q23" i="37"/>
  <c r="C23" i="37" s="1"/>
  <c r="M23" i="37" s="1"/>
  <c r="Q20" i="56"/>
  <c r="C20" i="56" s="1"/>
  <c r="M20" i="56" s="1"/>
  <c r="Q4" i="57"/>
  <c r="C4" i="57" s="1"/>
  <c r="M4" i="57" s="1"/>
  <c r="Q19" i="58"/>
  <c r="C19" i="58" s="1"/>
  <c r="M19" i="58" s="1"/>
  <c r="Q20" i="62"/>
  <c r="C20" i="62" s="1"/>
  <c r="M20" i="62" s="1"/>
  <c r="Q19" i="67"/>
  <c r="C19" i="67" s="1"/>
  <c r="M19" i="67" s="1"/>
  <c r="Q6" i="68"/>
  <c r="C6" i="68" s="1"/>
  <c r="M6" i="68" s="1"/>
  <c r="Q13" i="78"/>
  <c r="C13" i="78" s="1"/>
  <c r="M13" i="78" s="1"/>
  <c r="Q10" i="34"/>
  <c r="C10" i="34" s="1"/>
  <c r="M10" i="34" s="1"/>
  <c r="Q6" i="35"/>
  <c r="C6" i="35" s="1"/>
  <c r="M6" i="35" s="1"/>
  <c r="Q19" i="35"/>
  <c r="C19" i="35" s="1"/>
  <c r="M19" i="35" s="1"/>
  <c r="Q11" i="37"/>
  <c r="C11" i="37" s="1"/>
  <c r="M11" i="37" s="1"/>
  <c r="Q7" i="38"/>
  <c r="C7" i="38" s="1"/>
  <c r="M7" i="38" s="1"/>
  <c r="Q15" i="40"/>
  <c r="C15" i="40" s="1"/>
  <c r="M15" i="40" s="1"/>
  <c r="Q11" i="41"/>
  <c r="C11" i="41" s="1"/>
  <c r="M11" i="41" s="1"/>
  <c r="Q7" i="42"/>
  <c r="C7" i="42" s="1"/>
  <c r="M7" i="42" s="1"/>
  <c r="Q19" i="43"/>
  <c r="C19" i="43" s="1"/>
  <c r="M19" i="43" s="1"/>
  <c r="Q15" i="44"/>
  <c r="C15" i="44" s="1"/>
  <c r="M15" i="44" s="1"/>
  <c r="Q9" i="52"/>
  <c r="C9" i="52" s="1"/>
  <c r="M9" i="52" s="1"/>
  <c r="Q16" i="56"/>
  <c r="C16" i="56" s="1"/>
  <c r="M16" i="56" s="1"/>
  <c r="Q5" i="76"/>
  <c r="C5" i="76" s="1"/>
  <c r="M5" i="76" s="1"/>
  <c r="Q6" i="77"/>
  <c r="C6" i="77" s="1"/>
  <c r="M6" i="77" s="1"/>
  <c r="Q20" i="77"/>
  <c r="C20" i="77" s="1"/>
  <c r="M20" i="77" s="1"/>
  <c r="Q12" i="79"/>
  <c r="C12" i="79" s="1"/>
  <c r="M12" i="79" s="1"/>
  <c r="Q9" i="32"/>
  <c r="C9" i="32" s="1"/>
  <c r="M9" i="32" s="1"/>
  <c r="Q5" i="33"/>
  <c r="C5" i="33" s="1"/>
  <c r="M5" i="33" s="1"/>
  <c r="Q23" i="35"/>
  <c r="C23" i="35" s="1"/>
  <c r="M23" i="35" s="1"/>
  <c r="Q8" i="37"/>
  <c r="C8" i="37" s="1"/>
  <c r="M8" i="37" s="1"/>
  <c r="Q15" i="37"/>
  <c r="C15" i="37" s="1"/>
  <c r="M15" i="37" s="1"/>
  <c r="Q21" i="53"/>
  <c r="C21" i="53" s="1"/>
  <c r="M21" i="53" s="1"/>
  <c r="Q15" i="56"/>
  <c r="C15" i="56" s="1"/>
  <c r="M15" i="56" s="1"/>
  <c r="Q10" i="59"/>
  <c r="C10" i="59" s="1"/>
  <c r="M10" i="59" s="1"/>
  <c r="Q12" i="64"/>
  <c r="C12" i="64" s="1"/>
  <c r="M12" i="64" s="1"/>
  <c r="Q7" i="66"/>
  <c r="C7" i="66" s="1"/>
  <c r="M7" i="66" s="1"/>
  <c r="Q13" i="71"/>
  <c r="C13" i="71" s="1"/>
  <c r="M13" i="71" s="1"/>
  <c r="Q17" i="77"/>
  <c r="C17" i="77" s="1"/>
  <c r="M17" i="77" s="1"/>
  <c r="Q18" i="78"/>
  <c r="C18" i="78" s="1"/>
  <c r="M18" i="78" s="1"/>
  <c r="Q21" i="79"/>
  <c r="C21" i="79" s="1"/>
  <c r="M21" i="79" s="1"/>
  <c r="Q9" i="79"/>
  <c r="C9" i="79" s="1"/>
  <c r="M9" i="79" s="1"/>
  <c r="Q11" i="45"/>
  <c r="C11" i="45" s="1"/>
  <c r="M11" i="45" s="1"/>
  <c r="Q7" i="46"/>
  <c r="C7" i="46" s="1"/>
  <c r="M7" i="46" s="1"/>
  <c r="Q19" i="47"/>
  <c r="C19" i="47" s="1"/>
  <c r="M19" i="47" s="1"/>
  <c r="Q15" i="48"/>
  <c r="C15" i="48" s="1"/>
  <c r="M15" i="48" s="1"/>
  <c r="Q11" i="49"/>
  <c r="C11" i="49" s="1"/>
  <c r="M11" i="49" s="1"/>
  <c r="Q7" i="50"/>
  <c r="C7" i="50" s="1"/>
  <c r="M7" i="50" s="1"/>
  <c r="Q19" i="51"/>
  <c r="C19" i="51" s="1"/>
  <c r="M19" i="51" s="1"/>
  <c r="Q12" i="58"/>
  <c r="C12" i="58" s="1"/>
  <c r="M12" i="58" s="1"/>
  <c r="Q8" i="67"/>
  <c r="C8" i="67" s="1"/>
  <c r="M8" i="67" s="1"/>
  <c r="Q23" i="72"/>
  <c r="C23" i="72" s="1"/>
  <c r="M23" i="72" s="1"/>
  <c r="Q14" i="76"/>
  <c r="C14" i="76" s="1"/>
  <c r="M14" i="76" s="1"/>
  <c r="Q18" i="79"/>
  <c r="C18" i="79" s="1"/>
  <c r="M18" i="79" s="1"/>
  <c r="Q8" i="56"/>
  <c r="C8" i="56" s="1"/>
  <c r="M8" i="56" s="1"/>
  <c r="Q22" i="57"/>
  <c r="C22" i="57" s="1"/>
  <c r="M22" i="57" s="1"/>
  <c r="Q6" i="61"/>
  <c r="C6" i="61" s="1"/>
  <c r="M6" i="61" s="1"/>
  <c r="Q11" i="69"/>
  <c r="C11" i="69" s="1"/>
  <c r="M11" i="69" s="1"/>
  <c r="Q9" i="74"/>
  <c r="C9" i="74" s="1"/>
  <c r="M9" i="74" s="1"/>
  <c r="Q4" i="77"/>
  <c r="C4" i="77" s="1"/>
  <c r="M4" i="77" s="1"/>
  <c r="Q16" i="78"/>
  <c r="C16" i="78" s="1"/>
  <c r="M16" i="78" s="1"/>
  <c r="Q6" i="54"/>
  <c r="C6" i="54" s="1"/>
  <c r="M6" i="54" s="1"/>
  <c r="Q23" i="55"/>
  <c r="C23" i="55" s="1"/>
  <c r="M23" i="55" s="1"/>
  <c r="L8" i="13"/>
  <c r="Q15" i="21"/>
  <c r="C15" i="21" s="1"/>
  <c r="M15" i="21" s="1"/>
  <c r="Q4" i="25"/>
  <c r="C4" i="25" s="1"/>
  <c r="M4" i="25" s="1"/>
  <c r="Q20" i="25"/>
  <c r="C20" i="25" s="1"/>
  <c r="M20" i="25" s="1"/>
  <c r="Q4" i="29"/>
  <c r="C4" i="29" s="1"/>
  <c r="M4" i="29" s="1"/>
  <c r="Q21" i="29"/>
  <c r="C21" i="29" s="1"/>
  <c r="M21" i="29" s="1"/>
  <c r="Q17" i="29"/>
  <c r="C17" i="29" s="1"/>
  <c r="M17" i="29" s="1"/>
  <c r="Q14" i="29"/>
  <c r="C14" i="29" s="1"/>
  <c r="M14" i="29" s="1"/>
  <c r="Q22" i="29"/>
  <c r="C22" i="29" s="1"/>
  <c r="M22" i="29" s="1"/>
  <c r="Q18" i="29"/>
  <c r="C18" i="29" s="1"/>
  <c r="M18" i="29" s="1"/>
  <c r="Q13" i="29"/>
  <c r="C13" i="29" s="1"/>
  <c r="M13" i="29" s="1"/>
  <c r="Q23" i="29"/>
  <c r="C23" i="29" s="1"/>
  <c r="M23" i="29" s="1"/>
  <c r="Q16" i="21"/>
  <c r="C16" i="21" s="1"/>
  <c r="M16" i="21" s="1"/>
  <c r="Q11" i="25"/>
  <c r="C11" i="25" s="1"/>
  <c r="M11" i="25" s="1"/>
  <c r="Q6" i="29"/>
  <c r="C6" i="29" s="1"/>
  <c r="M6" i="29" s="1"/>
  <c r="Q9" i="29"/>
  <c r="C9" i="29" s="1"/>
  <c r="M9" i="29" s="1"/>
  <c r="Q11" i="29"/>
  <c r="C11" i="29" s="1"/>
  <c r="M11" i="29" s="1"/>
  <c r="Q7" i="30"/>
  <c r="C7" i="30" s="1"/>
  <c r="M7" i="30" s="1"/>
  <c r="Q23" i="30"/>
  <c r="C23" i="30" s="1"/>
  <c r="M23" i="30" s="1"/>
  <c r="Q19" i="31"/>
  <c r="C19" i="31" s="1"/>
  <c r="M19" i="31" s="1"/>
  <c r="Q10" i="21"/>
  <c r="C10" i="21" s="1"/>
  <c r="M10" i="21" s="1"/>
  <c r="Q13" i="21"/>
  <c r="C13" i="21" s="1"/>
  <c r="M13" i="21" s="1"/>
  <c r="Q15" i="25"/>
  <c r="C15" i="25" s="1"/>
  <c r="M15" i="25" s="1"/>
  <c r="Q10" i="29"/>
  <c r="C10" i="29" s="1"/>
  <c r="M10" i="29" s="1"/>
  <c r="Q11" i="21"/>
  <c r="C11" i="21" s="1"/>
  <c r="M11" i="21" s="1"/>
  <c r="Q22" i="21"/>
  <c r="C22" i="21" s="1"/>
  <c r="M22" i="21" s="1"/>
  <c r="P4" i="24"/>
  <c r="Q11" i="24" s="1"/>
  <c r="C11" i="24" s="1"/>
  <c r="M11" i="24" s="1"/>
  <c r="Q6" i="25"/>
  <c r="C6" i="25" s="1"/>
  <c r="M6" i="25" s="1"/>
  <c r="Q9" i="25"/>
  <c r="C9" i="25" s="1"/>
  <c r="M9" i="25" s="1"/>
  <c r="Q22" i="25"/>
  <c r="C22" i="25" s="1"/>
  <c r="M22" i="25" s="1"/>
  <c r="P4" i="28"/>
  <c r="Q15" i="28" s="1"/>
  <c r="C15" i="28" s="1"/>
  <c r="M15" i="28" s="1"/>
  <c r="J16" i="5"/>
  <c r="P4" i="19"/>
  <c r="Q7" i="19" s="1"/>
  <c r="C7" i="19" s="1"/>
  <c r="M7" i="19" s="1"/>
  <c r="Q5" i="21"/>
  <c r="C5" i="21" s="1"/>
  <c r="M5" i="21" s="1"/>
  <c r="Q7" i="21"/>
  <c r="C7" i="21" s="1"/>
  <c r="M7" i="21" s="1"/>
  <c r="Q12" i="21"/>
  <c r="C12" i="21" s="1"/>
  <c r="M12" i="21" s="1"/>
  <c r="Q18" i="21"/>
  <c r="C18" i="21" s="1"/>
  <c r="M18" i="21" s="1"/>
  <c r="Q23" i="21"/>
  <c r="C23" i="21" s="1"/>
  <c r="M23" i="21" s="1"/>
  <c r="P4" i="23"/>
  <c r="Q23" i="23" s="1"/>
  <c r="C23" i="23" s="1"/>
  <c r="M23" i="23" s="1"/>
  <c r="Q5" i="25"/>
  <c r="C5" i="25" s="1"/>
  <c r="M5" i="25" s="1"/>
  <c r="Q7" i="25"/>
  <c r="C7" i="25" s="1"/>
  <c r="M7" i="25" s="1"/>
  <c r="Q12" i="25"/>
  <c r="C12" i="25" s="1"/>
  <c r="M12" i="25" s="1"/>
  <c r="Q18" i="25"/>
  <c r="C18" i="25" s="1"/>
  <c r="M18" i="25" s="1"/>
  <c r="Q21" i="25"/>
  <c r="C21" i="25" s="1"/>
  <c r="M21" i="25" s="1"/>
  <c r="Q23" i="25"/>
  <c r="C23" i="25" s="1"/>
  <c r="M23" i="25" s="1"/>
  <c r="P4" i="27"/>
  <c r="Q8" i="27" s="1"/>
  <c r="C8" i="27" s="1"/>
  <c r="M8" i="27" s="1"/>
  <c r="Q5" i="29"/>
  <c r="C5" i="29" s="1"/>
  <c r="M5" i="29" s="1"/>
  <c r="Q7" i="29"/>
  <c r="C7" i="29" s="1"/>
  <c r="M7" i="29" s="1"/>
  <c r="Q12" i="29"/>
  <c r="C12" i="29" s="1"/>
  <c r="M12" i="29" s="1"/>
  <c r="Q15" i="29"/>
  <c r="C15" i="29" s="1"/>
  <c r="M15" i="29" s="1"/>
  <c r="Q11" i="30"/>
  <c r="C11" i="30" s="1"/>
  <c r="M11" i="30" s="1"/>
  <c r="Q22" i="31"/>
  <c r="C22" i="31" s="1"/>
  <c r="M22" i="31" s="1"/>
  <c r="Q7" i="31"/>
  <c r="C7" i="31" s="1"/>
  <c r="M7" i="31" s="1"/>
  <c r="Q23" i="31"/>
  <c r="C23" i="31" s="1"/>
  <c r="M23" i="31" s="1"/>
  <c r="Q4" i="21"/>
  <c r="C4" i="21" s="1"/>
  <c r="M4" i="21" s="1"/>
  <c r="Q20" i="21"/>
  <c r="C20" i="21" s="1"/>
  <c r="M20" i="21" s="1"/>
  <c r="Q10" i="25"/>
  <c r="C10" i="25" s="1"/>
  <c r="M10" i="25" s="1"/>
  <c r="Q13" i="25"/>
  <c r="C13" i="25" s="1"/>
  <c r="M13" i="25" s="1"/>
  <c r="P4" i="20"/>
  <c r="Q8" i="20" s="1"/>
  <c r="C8" i="20" s="1"/>
  <c r="M8" i="20" s="1"/>
  <c r="Q6" i="21"/>
  <c r="C6" i="21" s="1"/>
  <c r="M6" i="21" s="1"/>
  <c r="Q9" i="21"/>
  <c r="C9" i="21" s="1"/>
  <c r="M9" i="21" s="1"/>
  <c r="Q16" i="25"/>
  <c r="C16" i="25" s="1"/>
  <c r="M16" i="25" s="1"/>
  <c r="M9" i="4"/>
  <c r="N9" i="4" s="1"/>
  <c r="P4" i="18"/>
  <c r="Q11" i="18" s="1"/>
  <c r="C11" i="18" s="1"/>
  <c r="M11" i="18" s="1"/>
  <c r="Q8" i="21"/>
  <c r="C8" i="21" s="1"/>
  <c r="M8" i="21" s="1"/>
  <c r="Q14" i="21"/>
  <c r="C14" i="21" s="1"/>
  <c r="M14" i="21" s="1"/>
  <c r="Q17" i="21"/>
  <c r="C17" i="21" s="1"/>
  <c r="M17" i="21" s="1"/>
  <c r="Q19" i="21"/>
  <c r="C19" i="21" s="1"/>
  <c r="M19" i="21" s="1"/>
  <c r="P4" i="22"/>
  <c r="Q16" i="22" s="1"/>
  <c r="C16" i="22" s="1"/>
  <c r="M16" i="22" s="1"/>
  <c r="Q8" i="25"/>
  <c r="C8" i="25" s="1"/>
  <c r="M8" i="25" s="1"/>
  <c r="Q14" i="25"/>
  <c r="C14" i="25" s="1"/>
  <c r="M14" i="25" s="1"/>
  <c r="Q17" i="25"/>
  <c r="C17" i="25" s="1"/>
  <c r="M17" i="25" s="1"/>
  <c r="Q19" i="25"/>
  <c r="C19" i="25" s="1"/>
  <c r="M19" i="25" s="1"/>
  <c r="P4" i="26"/>
  <c r="Q11" i="26" s="1"/>
  <c r="C11" i="26" s="1"/>
  <c r="M11" i="26" s="1"/>
  <c r="Q8" i="29"/>
  <c r="C8" i="29" s="1"/>
  <c r="M8" i="29" s="1"/>
  <c r="Q19" i="29"/>
  <c r="C19" i="29" s="1"/>
  <c r="M19" i="29" s="1"/>
  <c r="Q15" i="30"/>
  <c r="C15" i="30" s="1"/>
  <c r="M15" i="30" s="1"/>
  <c r="Q11" i="31"/>
  <c r="C11" i="31" s="1"/>
  <c r="M11" i="31" s="1"/>
  <c r="Q4" i="30"/>
  <c r="C4" i="30" s="1"/>
  <c r="M4" i="30" s="1"/>
  <c r="Q5" i="30"/>
  <c r="C5" i="30" s="1"/>
  <c r="M5" i="30" s="1"/>
  <c r="Q9" i="30"/>
  <c r="C9" i="30" s="1"/>
  <c r="M9" i="30" s="1"/>
  <c r="Q16" i="30"/>
  <c r="C16" i="30" s="1"/>
  <c r="M16" i="30" s="1"/>
  <c r="Q17" i="30"/>
  <c r="C17" i="30" s="1"/>
  <c r="M17" i="30" s="1"/>
  <c r="Q21" i="30"/>
  <c r="C21" i="30" s="1"/>
  <c r="M21" i="30" s="1"/>
  <c r="Q8" i="31"/>
  <c r="C8" i="31" s="1"/>
  <c r="M8" i="31" s="1"/>
  <c r="Q10" i="31"/>
  <c r="C10" i="31" s="1"/>
  <c r="M10" i="31" s="1"/>
  <c r="Q13" i="31"/>
  <c r="C13" i="31" s="1"/>
  <c r="M13" i="31" s="1"/>
  <c r="Q20" i="31"/>
  <c r="C20" i="31" s="1"/>
  <c r="M20" i="31" s="1"/>
  <c r="Q18" i="32"/>
  <c r="C18" i="32" s="1"/>
  <c r="M18" i="32" s="1"/>
  <c r="Q14" i="33"/>
  <c r="C14" i="33" s="1"/>
  <c r="M14" i="33" s="1"/>
  <c r="Q23" i="33"/>
  <c r="C23" i="33" s="1"/>
  <c r="M23" i="33" s="1"/>
  <c r="Q19" i="34"/>
  <c r="C19" i="34" s="1"/>
  <c r="M19" i="34" s="1"/>
  <c r="Q4" i="35"/>
  <c r="C4" i="35" s="1"/>
  <c r="M4" i="35" s="1"/>
  <c r="Q20" i="38"/>
  <c r="C20" i="38" s="1"/>
  <c r="M20" i="38" s="1"/>
  <c r="Q23" i="38"/>
  <c r="C23" i="38" s="1"/>
  <c r="M23" i="38" s="1"/>
  <c r="Q16" i="39"/>
  <c r="C16" i="39" s="1"/>
  <c r="M16" i="39" s="1"/>
  <c r="Q23" i="39"/>
  <c r="C23" i="39" s="1"/>
  <c r="M23" i="39" s="1"/>
  <c r="Q23" i="46"/>
  <c r="C23" i="46" s="1"/>
  <c r="M23" i="46" s="1"/>
  <c r="Q15" i="64"/>
  <c r="C15" i="64" s="1"/>
  <c r="M15" i="64" s="1"/>
  <c r="Q21" i="73"/>
  <c r="C21" i="73" s="1"/>
  <c r="M21" i="73" s="1"/>
  <c r="Q4" i="32"/>
  <c r="C4" i="32" s="1"/>
  <c r="M4" i="32" s="1"/>
  <c r="Q6" i="32"/>
  <c r="C6" i="32" s="1"/>
  <c r="M6" i="32" s="1"/>
  <c r="Q13" i="32"/>
  <c r="C13" i="32" s="1"/>
  <c r="M13" i="32" s="1"/>
  <c r="Q15" i="32"/>
  <c r="C15" i="32" s="1"/>
  <c r="M15" i="32" s="1"/>
  <c r="Q20" i="32"/>
  <c r="C20" i="32" s="1"/>
  <c r="M20" i="32" s="1"/>
  <c r="Q22" i="32"/>
  <c r="C22" i="32" s="1"/>
  <c r="M22" i="32" s="1"/>
  <c r="Q9" i="33"/>
  <c r="C9" i="33" s="1"/>
  <c r="M9" i="33" s="1"/>
  <c r="Q11" i="33"/>
  <c r="C11" i="33" s="1"/>
  <c r="M11" i="33" s="1"/>
  <c r="Q16" i="33"/>
  <c r="C16" i="33" s="1"/>
  <c r="M16" i="33" s="1"/>
  <c r="Q18" i="33"/>
  <c r="C18" i="33" s="1"/>
  <c r="M18" i="33" s="1"/>
  <c r="Q5" i="34"/>
  <c r="C5" i="34" s="1"/>
  <c r="M5" i="34" s="1"/>
  <c r="Q7" i="34"/>
  <c r="C7" i="34" s="1"/>
  <c r="M7" i="34" s="1"/>
  <c r="Q12" i="34"/>
  <c r="C12" i="34" s="1"/>
  <c r="M12" i="34" s="1"/>
  <c r="Q14" i="34"/>
  <c r="C14" i="34" s="1"/>
  <c r="M14" i="34" s="1"/>
  <c r="Q21" i="34"/>
  <c r="C21" i="34" s="1"/>
  <c r="M21" i="34" s="1"/>
  <c r="Q23" i="34"/>
  <c r="C23" i="34" s="1"/>
  <c r="M23" i="34" s="1"/>
  <c r="Q8" i="35"/>
  <c r="C8" i="35" s="1"/>
  <c r="M8" i="35" s="1"/>
  <c r="Q10" i="35"/>
  <c r="C10" i="35" s="1"/>
  <c r="M10" i="35" s="1"/>
  <c r="Q14" i="35"/>
  <c r="C14" i="35" s="1"/>
  <c r="M14" i="35" s="1"/>
  <c r="Q18" i="35"/>
  <c r="C18" i="35" s="1"/>
  <c r="M18" i="35" s="1"/>
  <c r="Q22" i="35"/>
  <c r="C22" i="35" s="1"/>
  <c r="M22" i="35" s="1"/>
  <c r="Q6" i="37"/>
  <c r="C6" i="37" s="1"/>
  <c r="M6" i="37" s="1"/>
  <c r="Q10" i="37"/>
  <c r="C10" i="37" s="1"/>
  <c r="M10" i="37" s="1"/>
  <c r="Q14" i="37"/>
  <c r="C14" i="37" s="1"/>
  <c r="M14" i="37" s="1"/>
  <c r="Q18" i="37"/>
  <c r="C18" i="37" s="1"/>
  <c r="M18" i="37" s="1"/>
  <c r="Q22" i="37"/>
  <c r="C22" i="37" s="1"/>
  <c r="M22" i="37" s="1"/>
  <c r="Q6" i="38"/>
  <c r="C6" i="38" s="1"/>
  <c r="M6" i="38" s="1"/>
  <c r="Q13" i="38"/>
  <c r="C13" i="38" s="1"/>
  <c r="M13" i="38" s="1"/>
  <c r="Q21" i="38"/>
  <c r="C21" i="38" s="1"/>
  <c r="M21" i="38" s="1"/>
  <c r="Q9" i="39"/>
  <c r="C9" i="39" s="1"/>
  <c r="M9" i="39" s="1"/>
  <c r="Q17" i="39"/>
  <c r="C17" i="39" s="1"/>
  <c r="M17" i="39" s="1"/>
  <c r="Q19" i="39"/>
  <c r="C19" i="39" s="1"/>
  <c r="M19" i="39" s="1"/>
  <c r="Q4" i="41"/>
  <c r="C4" i="41" s="1"/>
  <c r="M4" i="41" s="1"/>
  <c r="Q20" i="41"/>
  <c r="C20" i="41" s="1"/>
  <c r="M20" i="41" s="1"/>
  <c r="Q16" i="42"/>
  <c r="C16" i="42" s="1"/>
  <c r="M16" i="42" s="1"/>
  <c r="Q12" i="43"/>
  <c r="C12" i="43" s="1"/>
  <c r="M12" i="43" s="1"/>
  <c r="Q8" i="44"/>
  <c r="C8" i="44" s="1"/>
  <c r="M8" i="44" s="1"/>
  <c r="Q4" i="45"/>
  <c r="C4" i="45" s="1"/>
  <c r="M4" i="45" s="1"/>
  <c r="Q20" i="45"/>
  <c r="C20" i="45" s="1"/>
  <c r="M20" i="45" s="1"/>
  <c r="Q16" i="46"/>
  <c r="C16" i="46" s="1"/>
  <c r="M16" i="46" s="1"/>
  <c r="Q12" i="47"/>
  <c r="C12" i="47" s="1"/>
  <c r="M12" i="47" s="1"/>
  <c r="Q8" i="48"/>
  <c r="C8" i="48" s="1"/>
  <c r="M8" i="48" s="1"/>
  <c r="Q4" i="49"/>
  <c r="C4" i="49" s="1"/>
  <c r="M4" i="49" s="1"/>
  <c r="Q20" i="49"/>
  <c r="C20" i="49" s="1"/>
  <c r="M20" i="49" s="1"/>
  <c r="Q16" i="50"/>
  <c r="C16" i="50" s="1"/>
  <c r="M16" i="50" s="1"/>
  <c r="Q12" i="51"/>
  <c r="C12" i="51" s="1"/>
  <c r="M12" i="51" s="1"/>
  <c r="Q4" i="54"/>
  <c r="C4" i="54" s="1"/>
  <c r="M4" i="54" s="1"/>
  <c r="Q16" i="29"/>
  <c r="C16" i="29" s="1"/>
  <c r="M16" i="29" s="1"/>
  <c r="Q20" i="29"/>
  <c r="C20" i="29" s="1"/>
  <c r="M20" i="29" s="1"/>
  <c r="Q6" i="30"/>
  <c r="C6" i="30" s="1"/>
  <c r="M6" i="30" s="1"/>
  <c r="Q12" i="30"/>
  <c r="C12" i="30" s="1"/>
  <c r="M12" i="30" s="1"/>
  <c r="Q14" i="30"/>
  <c r="C14" i="30" s="1"/>
  <c r="M14" i="30" s="1"/>
  <c r="Q18" i="30"/>
  <c r="C18" i="30" s="1"/>
  <c r="M18" i="30" s="1"/>
  <c r="Q4" i="31"/>
  <c r="C4" i="31" s="1"/>
  <c r="M4" i="31" s="1"/>
  <c r="Q6" i="31"/>
  <c r="C6" i="31" s="1"/>
  <c r="M6" i="31" s="1"/>
  <c r="Q9" i="31"/>
  <c r="C9" i="31" s="1"/>
  <c r="M9" i="31" s="1"/>
  <c r="Q16" i="31"/>
  <c r="C16" i="31" s="1"/>
  <c r="M16" i="31" s="1"/>
  <c r="Q17" i="31"/>
  <c r="C17" i="31" s="1"/>
  <c r="M17" i="31" s="1"/>
  <c r="Q21" i="31"/>
  <c r="C21" i="31" s="1"/>
  <c r="M21" i="31" s="1"/>
  <c r="Q11" i="32"/>
  <c r="C11" i="32" s="1"/>
  <c r="M11" i="32" s="1"/>
  <c r="Q16" i="32"/>
  <c r="C16" i="32" s="1"/>
  <c r="M16" i="32" s="1"/>
  <c r="Q7" i="33"/>
  <c r="C7" i="33" s="1"/>
  <c r="M7" i="33" s="1"/>
  <c r="Q12" i="33"/>
  <c r="C12" i="33" s="1"/>
  <c r="M12" i="33" s="1"/>
  <c r="Q21" i="33"/>
  <c r="C21" i="33" s="1"/>
  <c r="M21" i="33" s="1"/>
  <c r="Q8" i="34"/>
  <c r="C8" i="34" s="1"/>
  <c r="M8" i="34" s="1"/>
  <c r="Q17" i="34"/>
  <c r="C17" i="34" s="1"/>
  <c r="M17" i="34" s="1"/>
  <c r="Q23" i="42"/>
  <c r="C23" i="42" s="1"/>
  <c r="M23" i="42" s="1"/>
  <c r="Q23" i="50"/>
  <c r="C23" i="50" s="1"/>
  <c r="M23" i="50" s="1"/>
  <c r="Q12" i="52"/>
  <c r="C12" i="52" s="1"/>
  <c r="M12" i="52" s="1"/>
  <c r="Q8" i="32"/>
  <c r="C8" i="32" s="1"/>
  <c r="M8" i="32" s="1"/>
  <c r="Q10" i="32"/>
  <c r="C10" i="32" s="1"/>
  <c r="M10" i="32" s="1"/>
  <c r="Q17" i="32"/>
  <c r="C17" i="32" s="1"/>
  <c r="M17" i="32" s="1"/>
  <c r="Q19" i="32"/>
  <c r="C19" i="32" s="1"/>
  <c r="M19" i="32" s="1"/>
  <c r="Q4" i="33"/>
  <c r="C4" i="33" s="1"/>
  <c r="M4" i="33" s="1"/>
  <c r="Q6" i="33"/>
  <c r="C6" i="33" s="1"/>
  <c r="M6" i="33" s="1"/>
  <c r="Q13" i="33"/>
  <c r="C13" i="33" s="1"/>
  <c r="M13" i="33" s="1"/>
  <c r="Q15" i="33"/>
  <c r="C15" i="33" s="1"/>
  <c r="M15" i="33" s="1"/>
  <c r="Q20" i="33"/>
  <c r="C20" i="33" s="1"/>
  <c r="M20" i="33" s="1"/>
  <c r="Q22" i="33"/>
  <c r="C22" i="33" s="1"/>
  <c r="M22" i="33" s="1"/>
  <c r="Q9" i="34"/>
  <c r="C9" i="34" s="1"/>
  <c r="M9" i="34" s="1"/>
  <c r="Q11" i="34"/>
  <c r="C11" i="34" s="1"/>
  <c r="M11" i="34" s="1"/>
  <c r="Q16" i="34"/>
  <c r="C16" i="34" s="1"/>
  <c r="M16" i="34" s="1"/>
  <c r="Q18" i="34"/>
  <c r="C18" i="34" s="1"/>
  <c r="M18" i="34" s="1"/>
  <c r="Q5" i="35"/>
  <c r="C5" i="35" s="1"/>
  <c r="M5" i="35" s="1"/>
  <c r="Q7" i="35"/>
  <c r="C7" i="35" s="1"/>
  <c r="M7" i="35" s="1"/>
  <c r="Q11" i="38"/>
  <c r="C11" i="38" s="1"/>
  <c r="M11" i="38" s="1"/>
  <c r="Q16" i="38"/>
  <c r="C16" i="38" s="1"/>
  <c r="M16" i="38" s="1"/>
  <c r="Q19" i="38"/>
  <c r="C19" i="38" s="1"/>
  <c r="M19" i="38" s="1"/>
  <c r="Q4" i="39"/>
  <c r="C4" i="39" s="1"/>
  <c r="M4" i="39" s="1"/>
  <c r="Q7" i="39"/>
  <c r="C7" i="39" s="1"/>
  <c r="M7" i="39" s="1"/>
  <c r="Q12" i="39"/>
  <c r="C12" i="39" s="1"/>
  <c r="M12" i="39" s="1"/>
  <c r="Q15" i="39"/>
  <c r="C15" i="39" s="1"/>
  <c r="M15" i="39" s="1"/>
  <c r="Q17" i="40"/>
  <c r="C17" i="40" s="1"/>
  <c r="M17" i="40" s="1"/>
  <c r="Q13" i="41"/>
  <c r="C13" i="41" s="1"/>
  <c r="M13" i="41" s="1"/>
  <c r="Q9" i="42"/>
  <c r="C9" i="42" s="1"/>
  <c r="M9" i="42" s="1"/>
  <c r="Q5" i="43"/>
  <c r="C5" i="43" s="1"/>
  <c r="M5" i="43" s="1"/>
  <c r="Q21" i="43"/>
  <c r="C21" i="43" s="1"/>
  <c r="M21" i="43" s="1"/>
  <c r="Q17" i="44"/>
  <c r="C17" i="44" s="1"/>
  <c r="M17" i="44" s="1"/>
  <c r="Q13" i="45"/>
  <c r="C13" i="45" s="1"/>
  <c r="M13" i="45" s="1"/>
  <c r="Q9" i="46"/>
  <c r="C9" i="46" s="1"/>
  <c r="M9" i="46" s="1"/>
  <c r="Q5" i="47"/>
  <c r="C5" i="47" s="1"/>
  <c r="M5" i="47" s="1"/>
  <c r="Q21" i="47"/>
  <c r="C21" i="47" s="1"/>
  <c r="M21" i="47" s="1"/>
  <c r="Q17" i="48"/>
  <c r="C17" i="48" s="1"/>
  <c r="M17" i="48" s="1"/>
  <c r="Q13" i="49"/>
  <c r="C13" i="49" s="1"/>
  <c r="M13" i="49" s="1"/>
  <c r="Q9" i="50"/>
  <c r="C9" i="50" s="1"/>
  <c r="M9" i="50" s="1"/>
  <c r="Q5" i="51"/>
  <c r="C5" i="51" s="1"/>
  <c r="M5" i="51" s="1"/>
  <c r="Q21" i="51"/>
  <c r="C21" i="51" s="1"/>
  <c r="M21" i="51" s="1"/>
  <c r="Q4" i="53"/>
  <c r="C4" i="53" s="1"/>
  <c r="M4" i="53" s="1"/>
  <c r="Q8" i="30"/>
  <c r="C8" i="30" s="1"/>
  <c r="M8" i="30" s="1"/>
  <c r="Q10" i="30"/>
  <c r="C10" i="30" s="1"/>
  <c r="M10" i="30" s="1"/>
  <c r="Q13" i="30"/>
  <c r="C13" i="30" s="1"/>
  <c r="M13" i="30" s="1"/>
  <c r="Q20" i="30"/>
  <c r="C20" i="30" s="1"/>
  <c r="M20" i="30" s="1"/>
  <c r="Q22" i="30"/>
  <c r="C22" i="30" s="1"/>
  <c r="M22" i="30" s="1"/>
  <c r="Q5" i="31"/>
  <c r="C5" i="31" s="1"/>
  <c r="M5" i="31" s="1"/>
  <c r="Q12" i="31"/>
  <c r="C12" i="31" s="1"/>
  <c r="M12" i="31" s="1"/>
  <c r="Q14" i="31"/>
  <c r="C14" i="31" s="1"/>
  <c r="M14" i="31" s="1"/>
  <c r="Q18" i="31"/>
  <c r="C18" i="31" s="1"/>
  <c r="M18" i="31" s="1"/>
  <c r="Q5" i="32"/>
  <c r="C5" i="32" s="1"/>
  <c r="M5" i="32" s="1"/>
  <c r="Q7" i="32"/>
  <c r="C7" i="32" s="1"/>
  <c r="M7" i="32" s="1"/>
  <c r="Q12" i="32"/>
  <c r="C12" i="32" s="1"/>
  <c r="M12" i="32" s="1"/>
  <c r="Q14" i="32"/>
  <c r="C14" i="32" s="1"/>
  <c r="M14" i="32" s="1"/>
  <c r="Q21" i="32"/>
  <c r="C21" i="32" s="1"/>
  <c r="M21" i="32" s="1"/>
  <c r="Q23" i="32"/>
  <c r="C23" i="32" s="1"/>
  <c r="M23" i="32" s="1"/>
  <c r="Q8" i="33"/>
  <c r="C8" i="33" s="1"/>
  <c r="M8" i="33" s="1"/>
  <c r="Q10" i="33"/>
  <c r="C10" i="33" s="1"/>
  <c r="M10" i="33" s="1"/>
  <c r="Q17" i="33"/>
  <c r="C17" i="33" s="1"/>
  <c r="M17" i="33" s="1"/>
  <c r="Q19" i="33"/>
  <c r="C19" i="33" s="1"/>
  <c r="M19" i="33" s="1"/>
  <c r="Q4" i="34"/>
  <c r="C4" i="34" s="1"/>
  <c r="M4" i="34" s="1"/>
  <c r="Q6" i="34"/>
  <c r="C6" i="34" s="1"/>
  <c r="M6" i="34" s="1"/>
  <c r="Q13" i="34"/>
  <c r="C13" i="34" s="1"/>
  <c r="M13" i="34" s="1"/>
  <c r="Q15" i="34"/>
  <c r="C15" i="34" s="1"/>
  <c r="M15" i="34" s="1"/>
  <c r="Q20" i="34"/>
  <c r="C20" i="34" s="1"/>
  <c r="M20" i="34" s="1"/>
  <c r="Q22" i="34"/>
  <c r="C22" i="34" s="1"/>
  <c r="M22" i="34" s="1"/>
  <c r="Q9" i="35"/>
  <c r="C9" i="35" s="1"/>
  <c r="M9" i="35" s="1"/>
  <c r="Q13" i="35"/>
  <c r="C13" i="35" s="1"/>
  <c r="M13" i="35" s="1"/>
  <c r="Q17" i="35"/>
  <c r="C17" i="35" s="1"/>
  <c r="M17" i="35" s="1"/>
  <c r="Q21" i="35"/>
  <c r="C21" i="35" s="1"/>
  <c r="M21" i="35" s="1"/>
  <c r="Q5" i="37"/>
  <c r="C5" i="37" s="1"/>
  <c r="M5" i="37" s="1"/>
  <c r="Q9" i="37"/>
  <c r="C9" i="37" s="1"/>
  <c r="M9" i="37" s="1"/>
  <c r="Q13" i="37"/>
  <c r="C13" i="37" s="1"/>
  <c r="M13" i="37" s="1"/>
  <c r="Q17" i="37"/>
  <c r="C17" i="37" s="1"/>
  <c r="M17" i="37" s="1"/>
  <c r="Q21" i="37"/>
  <c r="C21" i="37" s="1"/>
  <c r="M21" i="37" s="1"/>
  <c r="Q5" i="38"/>
  <c r="C5" i="38" s="1"/>
  <c r="M5" i="38" s="1"/>
  <c r="Q9" i="38"/>
  <c r="C9" i="38" s="1"/>
  <c r="M9" i="38" s="1"/>
  <c r="Q17" i="38"/>
  <c r="C17" i="38" s="1"/>
  <c r="M17" i="38" s="1"/>
  <c r="Q5" i="39"/>
  <c r="C5" i="39" s="1"/>
  <c r="M5" i="39" s="1"/>
  <c r="Q13" i="39"/>
  <c r="C13" i="39" s="1"/>
  <c r="M13" i="39" s="1"/>
  <c r="Q7" i="40"/>
  <c r="C7" i="40" s="1"/>
  <c r="M7" i="40" s="1"/>
  <c r="Q22" i="40"/>
  <c r="C22" i="40" s="1"/>
  <c r="M22" i="40" s="1"/>
  <c r="Q18" i="41"/>
  <c r="C18" i="41" s="1"/>
  <c r="M18" i="41" s="1"/>
  <c r="Q14" i="42"/>
  <c r="C14" i="42" s="1"/>
  <c r="M14" i="42" s="1"/>
  <c r="Q10" i="43"/>
  <c r="C10" i="43" s="1"/>
  <c r="M10" i="43" s="1"/>
  <c r="Q6" i="44"/>
  <c r="C6" i="44" s="1"/>
  <c r="M6" i="44" s="1"/>
  <c r="Q22" i="44"/>
  <c r="C22" i="44" s="1"/>
  <c r="M22" i="44" s="1"/>
  <c r="Q18" i="45"/>
  <c r="C18" i="45" s="1"/>
  <c r="M18" i="45" s="1"/>
  <c r="Q14" i="46"/>
  <c r="C14" i="46" s="1"/>
  <c r="M14" i="46" s="1"/>
  <c r="Q10" i="47"/>
  <c r="C10" i="47" s="1"/>
  <c r="M10" i="47" s="1"/>
  <c r="Q6" i="48"/>
  <c r="C6" i="48" s="1"/>
  <c r="M6" i="48" s="1"/>
  <c r="Q22" i="48"/>
  <c r="C22" i="48" s="1"/>
  <c r="M22" i="48" s="1"/>
  <c r="Q18" i="49"/>
  <c r="C18" i="49" s="1"/>
  <c r="M18" i="49" s="1"/>
  <c r="Q14" i="50"/>
  <c r="C14" i="50" s="1"/>
  <c r="M14" i="50" s="1"/>
  <c r="Q10" i="51"/>
  <c r="C10" i="51" s="1"/>
  <c r="M10" i="51" s="1"/>
  <c r="Q14" i="52"/>
  <c r="C14" i="52" s="1"/>
  <c r="M14" i="52" s="1"/>
  <c r="Q16" i="54"/>
  <c r="C16" i="54" s="1"/>
  <c r="M16" i="54" s="1"/>
  <c r="Q10" i="38"/>
  <c r="C10" i="38" s="1"/>
  <c r="M10" i="38" s="1"/>
  <c r="Q14" i="38"/>
  <c r="C14" i="38" s="1"/>
  <c r="M14" i="38" s="1"/>
  <c r="Q18" i="38"/>
  <c r="C18" i="38" s="1"/>
  <c r="M18" i="38" s="1"/>
  <c r="Q22" i="38"/>
  <c r="C22" i="38" s="1"/>
  <c r="M22" i="38" s="1"/>
  <c r="Q6" i="39"/>
  <c r="C6" i="39" s="1"/>
  <c r="M6" i="39" s="1"/>
  <c r="Q10" i="39"/>
  <c r="C10" i="39" s="1"/>
  <c r="M10" i="39" s="1"/>
  <c r="Q14" i="39"/>
  <c r="C14" i="39" s="1"/>
  <c r="M14" i="39" s="1"/>
  <c r="Q18" i="39"/>
  <c r="C18" i="39" s="1"/>
  <c r="M18" i="39" s="1"/>
  <c r="Q22" i="39"/>
  <c r="C22" i="39" s="1"/>
  <c r="M22" i="39" s="1"/>
  <c r="Q6" i="40"/>
  <c r="C6" i="40" s="1"/>
  <c r="M6" i="40" s="1"/>
  <c r="Q10" i="40"/>
  <c r="C10" i="40" s="1"/>
  <c r="M10" i="40" s="1"/>
  <c r="Q12" i="40"/>
  <c r="C12" i="40" s="1"/>
  <c r="M12" i="40" s="1"/>
  <c r="Q19" i="40"/>
  <c r="C19" i="40" s="1"/>
  <c r="M19" i="40" s="1"/>
  <c r="Q21" i="40"/>
  <c r="C21" i="40" s="1"/>
  <c r="M21" i="40" s="1"/>
  <c r="Q6" i="41"/>
  <c r="C6" i="41" s="1"/>
  <c r="M6" i="41" s="1"/>
  <c r="Q8" i="41"/>
  <c r="C8" i="41" s="1"/>
  <c r="M8" i="41" s="1"/>
  <c r="Q15" i="41"/>
  <c r="C15" i="41" s="1"/>
  <c r="M15" i="41" s="1"/>
  <c r="Q17" i="41"/>
  <c r="C17" i="41" s="1"/>
  <c r="M17" i="41" s="1"/>
  <c r="Q22" i="41"/>
  <c r="C22" i="41" s="1"/>
  <c r="M22" i="41" s="1"/>
  <c r="Q4" i="42"/>
  <c r="C4" i="42" s="1"/>
  <c r="M4" i="42" s="1"/>
  <c r="Q11" i="42"/>
  <c r="C11" i="42" s="1"/>
  <c r="M11" i="42" s="1"/>
  <c r="Q13" i="42"/>
  <c r="C13" i="42" s="1"/>
  <c r="M13" i="42" s="1"/>
  <c r="Q18" i="42"/>
  <c r="C18" i="42" s="1"/>
  <c r="M18" i="42" s="1"/>
  <c r="Q20" i="42"/>
  <c r="C20" i="42" s="1"/>
  <c r="M20" i="42" s="1"/>
  <c r="Q7" i="43"/>
  <c r="C7" i="43" s="1"/>
  <c r="M7" i="43" s="1"/>
  <c r="Q9" i="43"/>
  <c r="C9" i="43" s="1"/>
  <c r="M9" i="43" s="1"/>
  <c r="Q14" i="43"/>
  <c r="C14" i="43" s="1"/>
  <c r="M14" i="43" s="1"/>
  <c r="Q16" i="43"/>
  <c r="C16" i="43" s="1"/>
  <c r="M16" i="43" s="1"/>
  <c r="Q23" i="43"/>
  <c r="C23" i="43" s="1"/>
  <c r="M23" i="43" s="1"/>
  <c r="Q5" i="44"/>
  <c r="C5" i="44" s="1"/>
  <c r="M5" i="44" s="1"/>
  <c r="Q10" i="44"/>
  <c r="C10" i="44" s="1"/>
  <c r="M10" i="44" s="1"/>
  <c r="Q12" i="44"/>
  <c r="C12" i="44" s="1"/>
  <c r="M12" i="44" s="1"/>
  <c r="Q19" i="44"/>
  <c r="C19" i="44" s="1"/>
  <c r="M19" i="44" s="1"/>
  <c r="Q21" i="44"/>
  <c r="C21" i="44" s="1"/>
  <c r="M21" i="44" s="1"/>
  <c r="Q6" i="45"/>
  <c r="C6" i="45" s="1"/>
  <c r="M6" i="45" s="1"/>
  <c r="Q8" i="45"/>
  <c r="C8" i="45" s="1"/>
  <c r="M8" i="45" s="1"/>
  <c r="Q15" i="45"/>
  <c r="C15" i="45" s="1"/>
  <c r="M15" i="45" s="1"/>
  <c r="Q17" i="45"/>
  <c r="C17" i="45" s="1"/>
  <c r="M17" i="45" s="1"/>
  <c r="Q22" i="45"/>
  <c r="C22" i="45" s="1"/>
  <c r="M22" i="45" s="1"/>
  <c r="Q4" i="46"/>
  <c r="C4" i="46" s="1"/>
  <c r="M4" i="46" s="1"/>
  <c r="Q11" i="46"/>
  <c r="C11" i="46" s="1"/>
  <c r="M11" i="46" s="1"/>
  <c r="Q13" i="46"/>
  <c r="C13" i="46" s="1"/>
  <c r="M13" i="46" s="1"/>
  <c r="Q18" i="46"/>
  <c r="C18" i="46" s="1"/>
  <c r="M18" i="46" s="1"/>
  <c r="Q20" i="46"/>
  <c r="C20" i="46" s="1"/>
  <c r="M20" i="46" s="1"/>
  <c r="Q7" i="47"/>
  <c r="C7" i="47" s="1"/>
  <c r="M7" i="47" s="1"/>
  <c r="Q9" i="47"/>
  <c r="C9" i="47" s="1"/>
  <c r="M9" i="47" s="1"/>
  <c r="Q14" i="47"/>
  <c r="C14" i="47" s="1"/>
  <c r="M14" i="47" s="1"/>
  <c r="Q16" i="47"/>
  <c r="C16" i="47" s="1"/>
  <c r="M16" i="47" s="1"/>
  <c r="Q23" i="47"/>
  <c r="C23" i="47" s="1"/>
  <c r="M23" i="47" s="1"/>
  <c r="Q5" i="48"/>
  <c r="C5" i="48" s="1"/>
  <c r="M5" i="48" s="1"/>
  <c r="Q10" i="48"/>
  <c r="C10" i="48" s="1"/>
  <c r="M10" i="48" s="1"/>
  <c r="Q12" i="48"/>
  <c r="C12" i="48" s="1"/>
  <c r="M12" i="48" s="1"/>
  <c r="Q19" i="48"/>
  <c r="C19" i="48" s="1"/>
  <c r="M19" i="48" s="1"/>
  <c r="Q21" i="48"/>
  <c r="C21" i="48" s="1"/>
  <c r="M21" i="48" s="1"/>
  <c r="Q6" i="49"/>
  <c r="C6" i="49" s="1"/>
  <c r="M6" i="49" s="1"/>
  <c r="Q8" i="49"/>
  <c r="C8" i="49" s="1"/>
  <c r="M8" i="49" s="1"/>
  <c r="Q15" i="49"/>
  <c r="C15" i="49" s="1"/>
  <c r="M15" i="49" s="1"/>
  <c r="Q17" i="49"/>
  <c r="C17" i="49" s="1"/>
  <c r="M17" i="49" s="1"/>
  <c r="Q22" i="49"/>
  <c r="C22" i="49" s="1"/>
  <c r="M22" i="49" s="1"/>
  <c r="Q4" i="50"/>
  <c r="C4" i="50" s="1"/>
  <c r="M4" i="50" s="1"/>
  <c r="Q11" i="50"/>
  <c r="C11" i="50" s="1"/>
  <c r="M11" i="50" s="1"/>
  <c r="Q13" i="50"/>
  <c r="C13" i="50" s="1"/>
  <c r="M13" i="50" s="1"/>
  <c r="Q18" i="50"/>
  <c r="C18" i="50" s="1"/>
  <c r="M18" i="50" s="1"/>
  <c r="Q20" i="50"/>
  <c r="C20" i="50" s="1"/>
  <c r="M20" i="50" s="1"/>
  <c r="Q7" i="51"/>
  <c r="C7" i="51" s="1"/>
  <c r="M7" i="51" s="1"/>
  <c r="Q9" i="51"/>
  <c r="C9" i="51" s="1"/>
  <c r="M9" i="51" s="1"/>
  <c r="Q14" i="51"/>
  <c r="C14" i="51" s="1"/>
  <c r="M14" i="51" s="1"/>
  <c r="Q16" i="51"/>
  <c r="C16" i="51" s="1"/>
  <c r="M16" i="51" s="1"/>
  <c r="Q23" i="51"/>
  <c r="C23" i="51" s="1"/>
  <c r="M23" i="51" s="1"/>
  <c r="Q17" i="52"/>
  <c r="C17" i="52" s="1"/>
  <c r="M17" i="52" s="1"/>
  <c r="Q20" i="52"/>
  <c r="C20" i="52" s="1"/>
  <c r="M20" i="52" s="1"/>
  <c r="Q22" i="52"/>
  <c r="C22" i="52" s="1"/>
  <c r="M22" i="52" s="1"/>
  <c r="Q12" i="53"/>
  <c r="C12" i="53" s="1"/>
  <c r="M12" i="53" s="1"/>
  <c r="Q9" i="54"/>
  <c r="C9" i="54" s="1"/>
  <c r="M9" i="54" s="1"/>
  <c r="Q12" i="54"/>
  <c r="C12" i="54" s="1"/>
  <c r="M12" i="54" s="1"/>
  <c r="Q14" i="54"/>
  <c r="C14" i="54" s="1"/>
  <c r="M14" i="54" s="1"/>
  <c r="Q21" i="55"/>
  <c r="C21" i="55" s="1"/>
  <c r="M21" i="55" s="1"/>
  <c r="Q20" i="57"/>
  <c r="C20" i="57" s="1"/>
  <c r="M20" i="57" s="1"/>
  <c r="Q17" i="58"/>
  <c r="C17" i="58" s="1"/>
  <c r="M17" i="58" s="1"/>
  <c r="Q20" i="59"/>
  <c r="C20" i="59" s="1"/>
  <c r="M20" i="59" s="1"/>
  <c r="Q8" i="59"/>
  <c r="C8" i="59" s="1"/>
  <c r="M8" i="59" s="1"/>
  <c r="Q4" i="59"/>
  <c r="C4" i="59" s="1"/>
  <c r="M4" i="59" s="1"/>
  <c r="Q11" i="60"/>
  <c r="C11" i="60" s="1"/>
  <c r="M11" i="60" s="1"/>
  <c r="Q22" i="60"/>
  <c r="C22" i="60" s="1"/>
  <c r="M22" i="60" s="1"/>
  <c r="Q20" i="61"/>
  <c r="C20" i="61" s="1"/>
  <c r="M20" i="61" s="1"/>
  <c r="Q20" i="39"/>
  <c r="C20" i="39" s="1"/>
  <c r="M20" i="39" s="1"/>
  <c r="Q4" i="40"/>
  <c r="C4" i="40" s="1"/>
  <c r="M4" i="40" s="1"/>
  <c r="Q8" i="40"/>
  <c r="C8" i="40" s="1"/>
  <c r="M8" i="40" s="1"/>
  <c r="Q14" i="40"/>
  <c r="C14" i="40" s="1"/>
  <c r="M14" i="40" s="1"/>
  <c r="Q16" i="40"/>
  <c r="C16" i="40" s="1"/>
  <c r="M16" i="40" s="1"/>
  <c r="Q23" i="40"/>
  <c r="C23" i="40" s="1"/>
  <c r="M23" i="40" s="1"/>
  <c r="Q5" i="41"/>
  <c r="C5" i="41" s="1"/>
  <c r="M5" i="41" s="1"/>
  <c r="Q10" i="41"/>
  <c r="C10" i="41" s="1"/>
  <c r="M10" i="41" s="1"/>
  <c r="Q12" i="41"/>
  <c r="C12" i="41" s="1"/>
  <c r="M12" i="41" s="1"/>
  <c r="Q19" i="41"/>
  <c r="C19" i="41" s="1"/>
  <c r="M19" i="41" s="1"/>
  <c r="Q21" i="41"/>
  <c r="C21" i="41" s="1"/>
  <c r="M21" i="41" s="1"/>
  <c r="Q6" i="42"/>
  <c r="C6" i="42" s="1"/>
  <c r="M6" i="42" s="1"/>
  <c r="Q8" i="42"/>
  <c r="C8" i="42" s="1"/>
  <c r="M8" i="42" s="1"/>
  <c r="Q15" i="42"/>
  <c r="C15" i="42" s="1"/>
  <c r="M15" i="42" s="1"/>
  <c r="Q17" i="42"/>
  <c r="C17" i="42" s="1"/>
  <c r="M17" i="42" s="1"/>
  <c r="Q22" i="42"/>
  <c r="C22" i="42" s="1"/>
  <c r="M22" i="42" s="1"/>
  <c r="Q4" i="43"/>
  <c r="C4" i="43" s="1"/>
  <c r="M4" i="43" s="1"/>
  <c r="Q11" i="43"/>
  <c r="C11" i="43" s="1"/>
  <c r="M11" i="43" s="1"/>
  <c r="Q13" i="43"/>
  <c r="C13" i="43" s="1"/>
  <c r="M13" i="43" s="1"/>
  <c r="Q18" i="43"/>
  <c r="C18" i="43" s="1"/>
  <c r="M18" i="43" s="1"/>
  <c r="Q20" i="43"/>
  <c r="C20" i="43" s="1"/>
  <c r="M20" i="43" s="1"/>
  <c r="Q7" i="44"/>
  <c r="C7" i="44" s="1"/>
  <c r="M7" i="44" s="1"/>
  <c r="Q9" i="44"/>
  <c r="C9" i="44" s="1"/>
  <c r="M9" i="44" s="1"/>
  <c r="Q14" i="44"/>
  <c r="C14" i="44" s="1"/>
  <c r="M14" i="44" s="1"/>
  <c r="Q16" i="44"/>
  <c r="C16" i="44" s="1"/>
  <c r="M16" i="44" s="1"/>
  <c r="Q23" i="44"/>
  <c r="C23" i="44" s="1"/>
  <c r="M23" i="44" s="1"/>
  <c r="Q5" i="45"/>
  <c r="C5" i="45" s="1"/>
  <c r="M5" i="45" s="1"/>
  <c r="Q10" i="45"/>
  <c r="C10" i="45" s="1"/>
  <c r="M10" i="45" s="1"/>
  <c r="Q12" i="45"/>
  <c r="C12" i="45" s="1"/>
  <c r="M12" i="45" s="1"/>
  <c r="Q19" i="45"/>
  <c r="C19" i="45" s="1"/>
  <c r="M19" i="45" s="1"/>
  <c r="Q21" i="45"/>
  <c r="C21" i="45" s="1"/>
  <c r="M21" i="45" s="1"/>
  <c r="Q6" i="46"/>
  <c r="C6" i="46" s="1"/>
  <c r="M6" i="46" s="1"/>
  <c r="Q8" i="46"/>
  <c r="C8" i="46" s="1"/>
  <c r="M8" i="46" s="1"/>
  <c r="Q15" i="46"/>
  <c r="C15" i="46" s="1"/>
  <c r="M15" i="46" s="1"/>
  <c r="Q17" i="46"/>
  <c r="C17" i="46" s="1"/>
  <c r="M17" i="46" s="1"/>
  <c r="Q22" i="46"/>
  <c r="C22" i="46" s="1"/>
  <c r="M22" i="46" s="1"/>
  <c r="Q4" i="47"/>
  <c r="C4" i="47" s="1"/>
  <c r="M4" i="47" s="1"/>
  <c r="Q11" i="47"/>
  <c r="C11" i="47" s="1"/>
  <c r="M11" i="47" s="1"/>
  <c r="Q13" i="47"/>
  <c r="C13" i="47" s="1"/>
  <c r="M13" i="47" s="1"/>
  <c r="Q18" i="47"/>
  <c r="C18" i="47" s="1"/>
  <c r="M18" i="47" s="1"/>
  <c r="Q20" i="47"/>
  <c r="C20" i="47" s="1"/>
  <c r="M20" i="47" s="1"/>
  <c r="Q7" i="48"/>
  <c r="C7" i="48" s="1"/>
  <c r="M7" i="48" s="1"/>
  <c r="Q9" i="48"/>
  <c r="C9" i="48" s="1"/>
  <c r="M9" i="48" s="1"/>
  <c r="Q14" i="48"/>
  <c r="C14" i="48" s="1"/>
  <c r="M14" i="48" s="1"/>
  <c r="Q16" i="48"/>
  <c r="C16" i="48" s="1"/>
  <c r="M16" i="48" s="1"/>
  <c r="Q23" i="48"/>
  <c r="C23" i="48" s="1"/>
  <c r="M23" i="48" s="1"/>
  <c r="Q5" i="49"/>
  <c r="C5" i="49" s="1"/>
  <c r="M5" i="49" s="1"/>
  <c r="Q10" i="49"/>
  <c r="C10" i="49" s="1"/>
  <c r="M10" i="49" s="1"/>
  <c r="Q12" i="49"/>
  <c r="C12" i="49" s="1"/>
  <c r="M12" i="49" s="1"/>
  <c r="Q19" i="49"/>
  <c r="C19" i="49" s="1"/>
  <c r="M19" i="49" s="1"/>
  <c r="Q21" i="49"/>
  <c r="C21" i="49" s="1"/>
  <c r="M21" i="49" s="1"/>
  <c r="Q6" i="50"/>
  <c r="C6" i="50" s="1"/>
  <c r="M6" i="50" s="1"/>
  <c r="Q8" i="50"/>
  <c r="C8" i="50" s="1"/>
  <c r="M8" i="50" s="1"/>
  <c r="Q15" i="50"/>
  <c r="C15" i="50" s="1"/>
  <c r="M15" i="50" s="1"/>
  <c r="Q17" i="50"/>
  <c r="C17" i="50" s="1"/>
  <c r="M17" i="50" s="1"/>
  <c r="Q22" i="50"/>
  <c r="C22" i="50" s="1"/>
  <c r="M22" i="50" s="1"/>
  <c r="Q4" i="51"/>
  <c r="C4" i="51" s="1"/>
  <c r="M4" i="51" s="1"/>
  <c r="Q11" i="51"/>
  <c r="C11" i="51" s="1"/>
  <c r="M11" i="51" s="1"/>
  <c r="Q13" i="51"/>
  <c r="C13" i="51" s="1"/>
  <c r="M13" i="51" s="1"/>
  <c r="Q18" i="51"/>
  <c r="C18" i="51" s="1"/>
  <c r="M18" i="51" s="1"/>
  <c r="Q20" i="51"/>
  <c r="C20" i="51" s="1"/>
  <c r="M20" i="51" s="1"/>
  <c r="Q8" i="52"/>
  <c r="C8" i="52" s="1"/>
  <c r="M8" i="52" s="1"/>
  <c r="Q5" i="53"/>
  <c r="C5" i="53" s="1"/>
  <c r="M5" i="53" s="1"/>
  <c r="Q8" i="53"/>
  <c r="C8" i="53" s="1"/>
  <c r="M8" i="53" s="1"/>
  <c r="Q10" i="53"/>
  <c r="C10" i="53" s="1"/>
  <c r="M10" i="53" s="1"/>
  <c r="Q20" i="53"/>
  <c r="C20" i="53" s="1"/>
  <c r="M20" i="53" s="1"/>
  <c r="Q17" i="54"/>
  <c r="C17" i="54" s="1"/>
  <c r="M17" i="54" s="1"/>
  <c r="Q20" i="54"/>
  <c r="C20" i="54" s="1"/>
  <c r="M20" i="54" s="1"/>
  <c r="Q22" i="54"/>
  <c r="C22" i="54" s="1"/>
  <c r="M22" i="54" s="1"/>
  <c r="Q10" i="55"/>
  <c r="C10" i="55" s="1"/>
  <c r="M10" i="55" s="1"/>
  <c r="Q12" i="55"/>
  <c r="C12" i="55" s="1"/>
  <c r="M12" i="55" s="1"/>
  <c r="Q17" i="55"/>
  <c r="C17" i="55" s="1"/>
  <c r="M17" i="55" s="1"/>
  <c r="Q12" i="57"/>
  <c r="C12" i="57" s="1"/>
  <c r="M12" i="57" s="1"/>
  <c r="Q16" i="57"/>
  <c r="C16" i="57" s="1"/>
  <c r="M16" i="57" s="1"/>
  <c r="Q16" i="59"/>
  <c r="C16" i="59" s="1"/>
  <c r="M16" i="59" s="1"/>
  <c r="Q4" i="60"/>
  <c r="C4" i="60" s="1"/>
  <c r="M4" i="60" s="1"/>
  <c r="Q20" i="60"/>
  <c r="C20" i="60" s="1"/>
  <c r="M20" i="60" s="1"/>
  <c r="Q23" i="66"/>
  <c r="C23" i="66" s="1"/>
  <c r="M23" i="66" s="1"/>
  <c r="Q21" i="39"/>
  <c r="C21" i="39" s="1"/>
  <c r="M21" i="39" s="1"/>
  <c r="Q5" i="40"/>
  <c r="C5" i="40" s="1"/>
  <c r="M5" i="40" s="1"/>
  <c r="Q9" i="40"/>
  <c r="C9" i="40" s="1"/>
  <c r="M9" i="40" s="1"/>
  <c r="Q11" i="40"/>
  <c r="C11" i="40" s="1"/>
  <c r="M11" i="40" s="1"/>
  <c r="Q13" i="40"/>
  <c r="C13" i="40" s="1"/>
  <c r="M13" i="40" s="1"/>
  <c r="Q18" i="40"/>
  <c r="C18" i="40" s="1"/>
  <c r="M18" i="40" s="1"/>
  <c r="Q20" i="40"/>
  <c r="C20" i="40" s="1"/>
  <c r="M20" i="40" s="1"/>
  <c r="Q7" i="41"/>
  <c r="C7" i="41" s="1"/>
  <c r="M7" i="41" s="1"/>
  <c r="Q9" i="41"/>
  <c r="C9" i="41" s="1"/>
  <c r="M9" i="41" s="1"/>
  <c r="Q14" i="41"/>
  <c r="C14" i="41" s="1"/>
  <c r="M14" i="41" s="1"/>
  <c r="Q16" i="41"/>
  <c r="C16" i="41" s="1"/>
  <c r="M16" i="41" s="1"/>
  <c r="Q23" i="41"/>
  <c r="C23" i="41" s="1"/>
  <c r="M23" i="41" s="1"/>
  <c r="Q5" i="42"/>
  <c r="C5" i="42" s="1"/>
  <c r="M5" i="42" s="1"/>
  <c r="Q10" i="42"/>
  <c r="C10" i="42" s="1"/>
  <c r="M10" i="42" s="1"/>
  <c r="Q12" i="42"/>
  <c r="C12" i="42" s="1"/>
  <c r="M12" i="42" s="1"/>
  <c r="Q19" i="42"/>
  <c r="C19" i="42" s="1"/>
  <c r="M19" i="42" s="1"/>
  <c r="Q21" i="42"/>
  <c r="C21" i="42" s="1"/>
  <c r="M21" i="42" s="1"/>
  <c r="Q6" i="43"/>
  <c r="C6" i="43" s="1"/>
  <c r="M6" i="43" s="1"/>
  <c r="Q8" i="43"/>
  <c r="C8" i="43" s="1"/>
  <c r="M8" i="43" s="1"/>
  <c r="Q15" i="43"/>
  <c r="C15" i="43" s="1"/>
  <c r="M15" i="43" s="1"/>
  <c r="Q17" i="43"/>
  <c r="C17" i="43" s="1"/>
  <c r="M17" i="43" s="1"/>
  <c r="Q22" i="43"/>
  <c r="C22" i="43" s="1"/>
  <c r="M22" i="43" s="1"/>
  <c r="Q4" i="44"/>
  <c r="C4" i="44" s="1"/>
  <c r="M4" i="44" s="1"/>
  <c r="Q11" i="44"/>
  <c r="C11" i="44" s="1"/>
  <c r="M11" i="44" s="1"/>
  <c r="Q13" i="44"/>
  <c r="C13" i="44" s="1"/>
  <c r="M13" i="44" s="1"/>
  <c r="Q18" i="44"/>
  <c r="C18" i="44" s="1"/>
  <c r="M18" i="44" s="1"/>
  <c r="Q20" i="44"/>
  <c r="C20" i="44" s="1"/>
  <c r="M20" i="44" s="1"/>
  <c r="Q7" i="45"/>
  <c r="C7" i="45" s="1"/>
  <c r="M7" i="45" s="1"/>
  <c r="Q9" i="45"/>
  <c r="C9" i="45" s="1"/>
  <c r="M9" i="45" s="1"/>
  <c r="Q14" i="45"/>
  <c r="C14" i="45" s="1"/>
  <c r="M14" i="45" s="1"/>
  <c r="Q16" i="45"/>
  <c r="C16" i="45" s="1"/>
  <c r="M16" i="45" s="1"/>
  <c r="Q23" i="45"/>
  <c r="C23" i="45" s="1"/>
  <c r="M23" i="45" s="1"/>
  <c r="Q5" i="46"/>
  <c r="C5" i="46" s="1"/>
  <c r="M5" i="46" s="1"/>
  <c r="Q10" i="46"/>
  <c r="C10" i="46" s="1"/>
  <c r="M10" i="46" s="1"/>
  <c r="Q12" i="46"/>
  <c r="C12" i="46" s="1"/>
  <c r="M12" i="46" s="1"/>
  <c r="Q19" i="46"/>
  <c r="C19" i="46" s="1"/>
  <c r="M19" i="46" s="1"/>
  <c r="Q21" i="46"/>
  <c r="C21" i="46" s="1"/>
  <c r="M21" i="46" s="1"/>
  <c r="Q6" i="47"/>
  <c r="C6" i="47" s="1"/>
  <c r="M6" i="47" s="1"/>
  <c r="Q8" i="47"/>
  <c r="C8" i="47" s="1"/>
  <c r="M8" i="47" s="1"/>
  <c r="Q15" i="47"/>
  <c r="C15" i="47" s="1"/>
  <c r="M15" i="47" s="1"/>
  <c r="Q17" i="47"/>
  <c r="C17" i="47" s="1"/>
  <c r="M17" i="47" s="1"/>
  <c r="Q22" i="47"/>
  <c r="C22" i="47" s="1"/>
  <c r="M22" i="47" s="1"/>
  <c r="Q4" i="48"/>
  <c r="C4" i="48" s="1"/>
  <c r="M4" i="48" s="1"/>
  <c r="Q11" i="48"/>
  <c r="C11" i="48" s="1"/>
  <c r="M11" i="48" s="1"/>
  <c r="Q13" i="48"/>
  <c r="C13" i="48" s="1"/>
  <c r="M13" i="48" s="1"/>
  <c r="Q18" i="48"/>
  <c r="C18" i="48" s="1"/>
  <c r="M18" i="48" s="1"/>
  <c r="Q20" i="48"/>
  <c r="C20" i="48" s="1"/>
  <c r="M20" i="48" s="1"/>
  <c r="Q7" i="49"/>
  <c r="C7" i="49" s="1"/>
  <c r="M7" i="49" s="1"/>
  <c r="Q9" i="49"/>
  <c r="C9" i="49" s="1"/>
  <c r="M9" i="49" s="1"/>
  <c r="Q14" i="49"/>
  <c r="C14" i="49" s="1"/>
  <c r="M14" i="49" s="1"/>
  <c r="Q16" i="49"/>
  <c r="C16" i="49" s="1"/>
  <c r="M16" i="49" s="1"/>
  <c r="Q23" i="49"/>
  <c r="C23" i="49" s="1"/>
  <c r="M23" i="49" s="1"/>
  <c r="Q5" i="50"/>
  <c r="C5" i="50" s="1"/>
  <c r="M5" i="50" s="1"/>
  <c r="Q10" i="50"/>
  <c r="C10" i="50" s="1"/>
  <c r="M10" i="50" s="1"/>
  <c r="Q12" i="50"/>
  <c r="C12" i="50" s="1"/>
  <c r="M12" i="50" s="1"/>
  <c r="Q19" i="50"/>
  <c r="C19" i="50" s="1"/>
  <c r="M19" i="50" s="1"/>
  <c r="Q21" i="50"/>
  <c r="C21" i="50" s="1"/>
  <c r="M21" i="50" s="1"/>
  <c r="Q6" i="51"/>
  <c r="C6" i="51" s="1"/>
  <c r="M6" i="51" s="1"/>
  <c r="Q8" i="51"/>
  <c r="C8" i="51" s="1"/>
  <c r="M8" i="51" s="1"/>
  <c r="Q15" i="51"/>
  <c r="C15" i="51" s="1"/>
  <c r="M15" i="51" s="1"/>
  <c r="Q17" i="51"/>
  <c r="C17" i="51" s="1"/>
  <c r="M17" i="51" s="1"/>
  <c r="Q22" i="51"/>
  <c r="C22" i="51" s="1"/>
  <c r="M22" i="51" s="1"/>
  <c r="Q4" i="52"/>
  <c r="C4" i="52" s="1"/>
  <c r="M4" i="52" s="1"/>
  <c r="Q6" i="52"/>
  <c r="C6" i="52" s="1"/>
  <c r="M6" i="52" s="1"/>
  <c r="Q16" i="52"/>
  <c r="C16" i="52" s="1"/>
  <c r="M16" i="52" s="1"/>
  <c r="Q13" i="53"/>
  <c r="C13" i="53" s="1"/>
  <c r="M13" i="53" s="1"/>
  <c r="Q16" i="53"/>
  <c r="C16" i="53" s="1"/>
  <c r="M16" i="53" s="1"/>
  <c r="Q18" i="53"/>
  <c r="C18" i="53" s="1"/>
  <c r="M18" i="53" s="1"/>
  <c r="Q8" i="54"/>
  <c r="C8" i="54" s="1"/>
  <c r="M8" i="54" s="1"/>
  <c r="Q20" i="55"/>
  <c r="C20" i="55" s="1"/>
  <c r="M20" i="55" s="1"/>
  <c r="Q8" i="55"/>
  <c r="C8" i="55" s="1"/>
  <c r="M8" i="55" s="1"/>
  <c r="Q4" i="55"/>
  <c r="C4" i="55" s="1"/>
  <c r="M4" i="55" s="1"/>
  <c r="Q15" i="55"/>
  <c r="C15" i="55" s="1"/>
  <c r="M15" i="55" s="1"/>
  <c r="Q8" i="57"/>
  <c r="C8" i="57" s="1"/>
  <c r="M8" i="57" s="1"/>
  <c r="Q6" i="58"/>
  <c r="C6" i="58" s="1"/>
  <c r="M6" i="58" s="1"/>
  <c r="Q14" i="58"/>
  <c r="C14" i="58" s="1"/>
  <c r="M14" i="58" s="1"/>
  <c r="Q16" i="58"/>
  <c r="C16" i="58" s="1"/>
  <c r="M16" i="58" s="1"/>
  <c r="Q21" i="58"/>
  <c r="C21" i="58" s="1"/>
  <c r="M21" i="58" s="1"/>
  <c r="Q14" i="59"/>
  <c r="C14" i="59" s="1"/>
  <c r="M14" i="59" s="1"/>
  <c r="Q8" i="61"/>
  <c r="C8" i="61" s="1"/>
  <c r="M8" i="61" s="1"/>
  <c r="Q23" i="62"/>
  <c r="C23" i="62" s="1"/>
  <c r="M23" i="62" s="1"/>
  <c r="Q4" i="65"/>
  <c r="C4" i="65" s="1"/>
  <c r="M4" i="65" s="1"/>
  <c r="Q15" i="65"/>
  <c r="C15" i="65" s="1"/>
  <c r="M15" i="65" s="1"/>
  <c r="Q5" i="52"/>
  <c r="C5" i="52" s="1"/>
  <c r="M5" i="52" s="1"/>
  <c r="Q11" i="52"/>
  <c r="C11" i="52" s="1"/>
  <c r="M11" i="52" s="1"/>
  <c r="Q19" i="52"/>
  <c r="C19" i="52" s="1"/>
  <c r="M19" i="52" s="1"/>
  <c r="Q7" i="53"/>
  <c r="C7" i="53" s="1"/>
  <c r="M7" i="53" s="1"/>
  <c r="Q15" i="53"/>
  <c r="C15" i="53" s="1"/>
  <c r="M15" i="53" s="1"/>
  <c r="Q23" i="53"/>
  <c r="C23" i="53" s="1"/>
  <c r="M23" i="53" s="1"/>
  <c r="Q11" i="54"/>
  <c r="C11" i="54" s="1"/>
  <c r="M11" i="54" s="1"/>
  <c r="Q19" i="54"/>
  <c r="C19" i="54" s="1"/>
  <c r="M19" i="54" s="1"/>
  <c r="Q14" i="55"/>
  <c r="C14" i="55" s="1"/>
  <c r="M14" i="55" s="1"/>
  <c r="Q18" i="55"/>
  <c r="C18" i="55" s="1"/>
  <c r="M18" i="55" s="1"/>
  <c r="Q6" i="56"/>
  <c r="C6" i="56" s="1"/>
  <c r="M6" i="56" s="1"/>
  <c r="Q9" i="56"/>
  <c r="C9" i="56" s="1"/>
  <c r="M9" i="56" s="1"/>
  <c r="Q11" i="56"/>
  <c r="C11" i="56" s="1"/>
  <c r="M11" i="56" s="1"/>
  <c r="Q13" i="56"/>
  <c r="C13" i="56" s="1"/>
  <c r="M13" i="56" s="1"/>
  <c r="Q17" i="56"/>
  <c r="C17" i="56" s="1"/>
  <c r="M17" i="56" s="1"/>
  <c r="Q19" i="56"/>
  <c r="C19" i="56" s="1"/>
  <c r="M19" i="56" s="1"/>
  <c r="Q11" i="57"/>
  <c r="C11" i="57" s="1"/>
  <c r="M11" i="57" s="1"/>
  <c r="Q4" i="58"/>
  <c r="C4" i="58" s="1"/>
  <c r="M4" i="58" s="1"/>
  <c r="Q8" i="58"/>
  <c r="C8" i="58" s="1"/>
  <c r="M8" i="58" s="1"/>
  <c r="Q18" i="58"/>
  <c r="C18" i="58" s="1"/>
  <c r="M18" i="58" s="1"/>
  <c r="Q12" i="59"/>
  <c r="C12" i="59" s="1"/>
  <c r="M12" i="59" s="1"/>
  <c r="Q19" i="59"/>
  <c r="C19" i="59" s="1"/>
  <c r="M19" i="59" s="1"/>
  <c r="Q9" i="60"/>
  <c r="C9" i="60" s="1"/>
  <c r="M9" i="60" s="1"/>
  <c r="Q16" i="60"/>
  <c r="C16" i="60" s="1"/>
  <c r="M16" i="60" s="1"/>
  <c r="Q4" i="61"/>
  <c r="C4" i="61" s="1"/>
  <c r="M4" i="61" s="1"/>
  <c r="Q11" i="61"/>
  <c r="C11" i="61" s="1"/>
  <c r="M11" i="61" s="1"/>
  <c r="Q9" i="62"/>
  <c r="C9" i="62" s="1"/>
  <c r="M9" i="62" s="1"/>
  <c r="Q11" i="62"/>
  <c r="C11" i="62" s="1"/>
  <c r="M11" i="62" s="1"/>
  <c r="Q21" i="62"/>
  <c r="C21" i="62" s="1"/>
  <c r="M21" i="62" s="1"/>
  <c r="Q21" i="63"/>
  <c r="C21" i="63" s="1"/>
  <c r="M21" i="63" s="1"/>
  <c r="Q23" i="63"/>
  <c r="C23" i="63" s="1"/>
  <c r="M23" i="63" s="1"/>
  <c r="Q13" i="64"/>
  <c r="C13" i="64" s="1"/>
  <c r="M13" i="64" s="1"/>
  <c r="Q13" i="65"/>
  <c r="C13" i="65" s="1"/>
  <c r="M13" i="65" s="1"/>
  <c r="Q18" i="65"/>
  <c r="C18" i="65" s="1"/>
  <c r="M18" i="65" s="1"/>
  <c r="Q10" i="52"/>
  <c r="C10" i="52" s="1"/>
  <c r="M10" i="52" s="1"/>
  <c r="Q13" i="52"/>
  <c r="C13" i="52" s="1"/>
  <c r="M13" i="52" s="1"/>
  <c r="Q18" i="52"/>
  <c r="C18" i="52" s="1"/>
  <c r="M18" i="52" s="1"/>
  <c r="Q21" i="52"/>
  <c r="C21" i="52" s="1"/>
  <c r="M21" i="52" s="1"/>
  <c r="Q6" i="53"/>
  <c r="C6" i="53" s="1"/>
  <c r="M6" i="53" s="1"/>
  <c r="Q9" i="53"/>
  <c r="C9" i="53" s="1"/>
  <c r="M9" i="53" s="1"/>
  <c r="Q14" i="53"/>
  <c r="C14" i="53" s="1"/>
  <c r="M14" i="53" s="1"/>
  <c r="Q17" i="53"/>
  <c r="C17" i="53" s="1"/>
  <c r="M17" i="53" s="1"/>
  <c r="Q22" i="53"/>
  <c r="C22" i="53" s="1"/>
  <c r="M22" i="53" s="1"/>
  <c r="Q5" i="54"/>
  <c r="C5" i="54" s="1"/>
  <c r="M5" i="54" s="1"/>
  <c r="Q10" i="54"/>
  <c r="C10" i="54" s="1"/>
  <c r="M10" i="54" s="1"/>
  <c r="Q13" i="54"/>
  <c r="C13" i="54" s="1"/>
  <c r="M13" i="54" s="1"/>
  <c r="Q18" i="54"/>
  <c r="C18" i="54" s="1"/>
  <c r="M18" i="54" s="1"/>
  <c r="Q21" i="54"/>
  <c r="C21" i="54" s="1"/>
  <c r="M21" i="54" s="1"/>
  <c r="Q23" i="54"/>
  <c r="C23" i="54" s="1"/>
  <c r="M23" i="54" s="1"/>
  <c r="Q16" i="55"/>
  <c r="C16" i="55" s="1"/>
  <c r="M16" i="55" s="1"/>
  <c r="Q4" i="56"/>
  <c r="C4" i="56" s="1"/>
  <c r="M4" i="56" s="1"/>
  <c r="Q10" i="56"/>
  <c r="C10" i="56" s="1"/>
  <c r="M10" i="56" s="1"/>
  <c r="Q14" i="56"/>
  <c r="C14" i="56" s="1"/>
  <c r="M14" i="56" s="1"/>
  <c r="Q22" i="56"/>
  <c r="C22" i="56" s="1"/>
  <c r="M22" i="56" s="1"/>
  <c r="Q5" i="57"/>
  <c r="C5" i="57" s="1"/>
  <c r="M5" i="57" s="1"/>
  <c r="Q7" i="57"/>
  <c r="C7" i="57" s="1"/>
  <c r="M7" i="57" s="1"/>
  <c r="Q9" i="57"/>
  <c r="C9" i="57" s="1"/>
  <c r="M9" i="57" s="1"/>
  <c r="Q13" i="57"/>
  <c r="C13" i="57" s="1"/>
  <c r="M13" i="57" s="1"/>
  <c r="Q15" i="57"/>
  <c r="C15" i="57" s="1"/>
  <c r="M15" i="57" s="1"/>
  <c r="Q7" i="58"/>
  <c r="C7" i="58" s="1"/>
  <c r="M7" i="58" s="1"/>
  <c r="Q20" i="58"/>
  <c r="C20" i="58" s="1"/>
  <c r="M20" i="58" s="1"/>
  <c r="Q15" i="59"/>
  <c r="C15" i="59" s="1"/>
  <c r="M15" i="59" s="1"/>
  <c r="Q17" i="59"/>
  <c r="C17" i="59" s="1"/>
  <c r="M17" i="59" s="1"/>
  <c r="Q6" i="60"/>
  <c r="C6" i="60" s="1"/>
  <c r="M6" i="60" s="1"/>
  <c r="Q10" i="60"/>
  <c r="C10" i="60" s="1"/>
  <c r="M10" i="60" s="1"/>
  <c r="Q12" i="60"/>
  <c r="C12" i="60" s="1"/>
  <c r="M12" i="60" s="1"/>
  <c r="Q7" i="61"/>
  <c r="C7" i="61" s="1"/>
  <c r="M7" i="61" s="1"/>
  <c r="Q9" i="61"/>
  <c r="C9" i="61" s="1"/>
  <c r="M9" i="61" s="1"/>
  <c r="Q4" i="62"/>
  <c r="C4" i="62" s="1"/>
  <c r="M4" i="62" s="1"/>
  <c r="Q7" i="62"/>
  <c r="C7" i="62" s="1"/>
  <c r="M7" i="62" s="1"/>
  <c r="Q16" i="62"/>
  <c r="C16" i="62" s="1"/>
  <c r="M16" i="62" s="1"/>
  <c r="Q16" i="63"/>
  <c r="C16" i="63" s="1"/>
  <c r="M16" i="63" s="1"/>
  <c r="Q19" i="63"/>
  <c r="C19" i="63" s="1"/>
  <c r="M19" i="63" s="1"/>
  <c r="Q8" i="64"/>
  <c r="C8" i="64" s="1"/>
  <c r="M8" i="64" s="1"/>
  <c r="Q8" i="65"/>
  <c r="C8" i="65" s="1"/>
  <c r="M8" i="65" s="1"/>
  <c r="Q11" i="65"/>
  <c r="C11" i="65" s="1"/>
  <c r="M11" i="65" s="1"/>
  <c r="Q7" i="52"/>
  <c r="C7" i="52" s="1"/>
  <c r="M7" i="52" s="1"/>
  <c r="Q15" i="52"/>
  <c r="C15" i="52" s="1"/>
  <c r="M15" i="52" s="1"/>
  <c r="Q23" i="52"/>
  <c r="C23" i="52" s="1"/>
  <c r="M23" i="52" s="1"/>
  <c r="Q11" i="53"/>
  <c r="C11" i="53" s="1"/>
  <c r="M11" i="53" s="1"/>
  <c r="Q19" i="53"/>
  <c r="C19" i="53" s="1"/>
  <c r="M19" i="53" s="1"/>
  <c r="Q7" i="54"/>
  <c r="C7" i="54" s="1"/>
  <c r="M7" i="54" s="1"/>
  <c r="Q15" i="54"/>
  <c r="C15" i="54" s="1"/>
  <c r="M15" i="54" s="1"/>
  <c r="Q5" i="55"/>
  <c r="C5" i="55" s="1"/>
  <c r="M5" i="55" s="1"/>
  <c r="Q7" i="55"/>
  <c r="C7" i="55" s="1"/>
  <c r="M7" i="55" s="1"/>
  <c r="Q19" i="55"/>
  <c r="C19" i="55" s="1"/>
  <c r="M19" i="55" s="1"/>
  <c r="Q12" i="56"/>
  <c r="C12" i="56" s="1"/>
  <c r="M12" i="56" s="1"/>
  <c r="Q6" i="57"/>
  <c r="C6" i="57" s="1"/>
  <c r="M6" i="57" s="1"/>
  <c r="Q10" i="57"/>
  <c r="C10" i="57" s="1"/>
  <c r="M10" i="57" s="1"/>
  <c r="Q18" i="57"/>
  <c r="C18" i="57" s="1"/>
  <c r="M18" i="57" s="1"/>
  <c r="Q21" i="57"/>
  <c r="C21" i="57" s="1"/>
  <c r="M21" i="57" s="1"/>
  <c r="Q23" i="57"/>
  <c r="C23" i="57" s="1"/>
  <c r="M23" i="57" s="1"/>
  <c r="Q5" i="58"/>
  <c r="C5" i="58" s="1"/>
  <c r="M5" i="58" s="1"/>
  <c r="Q9" i="58"/>
  <c r="C9" i="58" s="1"/>
  <c r="M9" i="58" s="1"/>
  <c r="Q11" i="58"/>
  <c r="C11" i="58" s="1"/>
  <c r="M11" i="58" s="1"/>
  <c r="Q23" i="58"/>
  <c r="C23" i="58" s="1"/>
  <c r="M23" i="58" s="1"/>
  <c r="Q13" i="59"/>
  <c r="C13" i="59" s="1"/>
  <c r="M13" i="59" s="1"/>
  <c r="Q8" i="60"/>
  <c r="C8" i="60" s="1"/>
  <c r="M8" i="60" s="1"/>
  <c r="Q15" i="60"/>
  <c r="C15" i="60" s="1"/>
  <c r="M15" i="60" s="1"/>
  <c r="Q5" i="61"/>
  <c r="C5" i="61" s="1"/>
  <c r="M5" i="61" s="1"/>
  <c r="Q12" i="61"/>
  <c r="C12" i="61" s="1"/>
  <c r="M12" i="61" s="1"/>
  <c r="Q15" i="61"/>
  <c r="C15" i="61" s="1"/>
  <c r="M15" i="61" s="1"/>
  <c r="Q5" i="62"/>
  <c r="C5" i="62" s="1"/>
  <c r="M5" i="62" s="1"/>
  <c r="Q5" i="63"/>
  <c r="C5" i="63" s="1"/>
  <c r="M5" i="63" s="1"/>
  <c r="Q7" i="63"/>
  <c r="C7" i="63" s="1"/>
  <c r="M7" i="63" s="1"/>
  <c r="Q17" i="63"/>
  <c r="C17" i="63" s="1"/>
  <c r="M17" i="63" s="1"/>
  <c r="Q17" i="64"/>
  <c r="C17" i="64" s="1"/>
  <c r="M17" i="64" s="1"/>
  <c r="Q19" i="64"/>
  <c r="C19" i="64" s="1"/>
  <c r="M19" i="64" s="1"/>
  <c r="Q9" i="65"/>
  <c r="C9" i="65" s="1"/>
  <c r="M9" i="65" s="1"/>
  <c r="Q4" i="68"/>
  <c r="C4" i="68" s="1"/>
  <c r="M4" i="68" s="1"/>
  <c r="Q22" i="68"/>
  <c r="C22" i="68" s="1"/>
  <c r="M22" i="68" s="1"/>
  <c r="Q22" i="58"/>
  <c r="C22" i="58" s="1"/>
  <c r="M22" i="58" s="1"/>
  <c r="Q5" i="59"/>
  <c r="C5" i="59" s="1"/>
  <c r="M5" i="59" s="1"/>
  <c r="Q7" i="59"/>
  <c r="C7" i="59" s="1"/>
  <c r="M7" i="59" s="1"/>
  <c r="Q18" i="59"/>
  <c r="C18" i="59" s="1"/>
  <c r="M18" i="59" s="1"/>
  <c r="Q21" i="59"/>
  <c r="C21" i="59" s="1"/>
  <c r="M21" i="59" s="1"/>
  <c r="Q23" i="59"/>
  <c r="C23" i="59" s="1"/>
  <c r="M23" i="59" s="1"/>
  <c r="Q14" i="60"/>
  <c r="C14" i="60" s="1"/>
  <c r="M14" i="60" s="1"/>
  <c r="Q17" i="60"/>
  <c r="C17" i="60" s="1"/>
  <c r="M17" i="60" s="1"/>
  <c r="Q19" i="60"/>
  <c r="C19" i="60" s="1"/>
  <c r="M19" i="60" s="1"/>
  <c r="Q10" i="61"/>
  <c r="C10" i="61" s="1"/>
  <c r="M10" i="61" s="1"/>
  <c r="Q13" i="61"/>
  <c r="C13" i="61" s="1"/>
  <c r="M13" i="61" s="1"/>
  <c r="Q16" i="61"/>
  <c r="C16" i="61" s="1"/>
  <c r="M16" i="61" s="1"/>
  <c r="Q21" i="61"/>
  <c r="C21" i="61" s="1"/>
  <c r="M21" i="61" s="1"/>
  <c r="Q23" i="61"/>
  <c r="C23" i="61" s="1"/>
  <c r="M23" i="61" s="1"/>
  <c r="Q12" i="62"/>
  <c r="C12" i="62" s="1"/>
  <c r="M12" i="62" s="1"/>
  <c r="Q17" i="62"/>
  <c r="C17" i="62" s="1"/>
  <c r="M17" i="62" s="1"/>
  <c r="Q19" i="62"/>
  <c r="C19" i="62" s="1"/>
  <c r="M19" i="62" s="1"/>
  <c r="Q8" i="63"/>
  <c r="C8" i="63" s="1"/>
  <c r="M8" i="63" s="1"/>
  <c r="Q13" i="63"/>
  <c r="C13" i="63" s="1"/>
  <c r="M13" i="63" s="1"/>
  <c r="Q15" i="63"/>
  <c r="C15" i="63" s="1"/>
  <c r="M15" i="63" s="1"/>
  <c r="Q4" i="64"/>
  <c r="C4" i="64" s="1"/>
  <c r="M4" i="64" s="1"/>
  <c r="Q9" i="64"/>
  <c r="C9" i="64" s="1"/>
  <c r="M9" i="64" s="1"/>
  <c r="Q11" i="64"/>
  <c r="C11" i="64" s="1"/>
  <c r="M11" i="64" s="1"/>
  <c r="Q20" i="64"/>
  <c r="C20" i="64" s="1"/>
  <c r="M20" i="64" s="1"/>
  <c r="Q5" i="65"/>
  <c r="C5" i="65" s="1"/>
  <c r="M5" i="65" s="1"/>
  <c r="Q7" i="65"/>
  <c r="C7" i="65" s="1"/>
  <c r="M7" i="65" s="1"/>
  <c r="Q16" i="65"/>
  <c r="C16" i="65" s="1"/>
  <c r="M16" i="65" s="1"/>
  <c r="Q14" i="66"/>
  <c r="C14" i="66" s="1"/>
  <c r="M14" i="66" s="1"/>
  <c r="Q20" i="68"/>
  <c r="C20" i="68" s="1"/>
  <c r="M20" i="68" s="1"/>
  <c r="Q18" i="69"/>
  <c r="C18" i="69" s="1"/>
  <c r="M18" i="69" s="1"/>
  <c r="Q23" i="70"/>
  <c r="C23" i="70" s="1"/>
  <c r="M23" i="70" s="1"/>
  <c r="Q6" i="55"/>
  <c r="C6" i="55" s="1"/>
  <c r="M6" i="55" s="1"/>
  <c r="Q9" i="55"/>
  <c r="C9" i="55" s="1"/>
  <c r="M9" i="55" s="1"/>
  <c r="Q11" i="55"/>
  <c r="C11" i="55" s="1"/>
  <c r="M11" i="55" s="1"/>
  <c r="Q22" i="55"/>
  <c r="C22" i="55" s="1"/>
  <c r="M22" i="55" s="1"/>
  <c r="Q5" i="56"/>
  <c r="C5" i="56" s="1"/>
  <c r="M5" i="56" s="1"/>
  <c r="Q7" i="56"/>
  <c r="C7" i="56" s="1"/>
  <c r="M7" i="56" s="1"/>
  <c r="Q18" i="56"/>
  <c r="C18" i="56" s="1"/>
  <c r="M18" i="56" s="1"/>
  <c r="Q21" i="56"/>
  <c r="C21" i="56" s="1"/>
  <c r="M21" i="56" s="1"/>
  <c r="Q23" i="56"/>
  <c r="C23" i="56" s="1"/>
  <c r="M23" i="56" s="1"/>
  <c r="Q14" i="57"/>
  <c r="C14" i="57" s="1"/>
  <c r="M14" i="57" s="1"/>
  <c r="Q17" i="57"/>
  <c r="C17" i="57" s="1"/>
  <c r="M17" i="57" s="1"/>
  <c r="Q19" i="57"/>
  <c r="C19" i="57" s="1"/>
  <c r="M19" i="57" s="1"/>
  <c r="Q10" i="58"/>
  <c r="C10" i="58" s="1"/>
  <c r="M10" i="58" s="1"/>
  <c r="Q13" i="58"/>
  <c r="C13" i="58" s="1"/>
  <c r="M13" i="58" s="1"/>
  <c r="Q15" i="58"/>
  <c r="C15" i="58" s="1"/>
  <c r="M15" i="58" s="1"/>
  <c r="Q6" i="59"/>
  <c r="C6" i="59" s="1"/>
  <c r="M6" i="59" s="1"/>
  <c r="Q9" i="59"/>
  <c r="C9" i="59" s="1"/>
  <c r="M9" i="59" s="1"/>
  <c r="Q11" i="59"/>
  <c r="C11" i="59" s="1"/>
  <c r="M11" i="59" s="1"/>
  <c r="Q22" i="59"/>
  <c r="C22" i="59" s="1"/>
  <c r="M22" i="59" s="1"/>
  <c r="Q5" i="60"/>
  <c r="C5" i="60" s="1"/>
  <c r="M5" i="60" s="1"/>
  <c r="Q7" i="60"/>
  <c r="C7" i="60" s="1"/>
  <c r="M7" i="60" s="1"/>
  <c r="Q18" i="60"/>
  <c r="C18" i="60" s="1"/>
  <c r="M18" i="60" s="1"/>
  <c r="Q21" i="60"/>
  <c r="C21" i="60" s="1"/>
  <c r="M21" i="60" s="1"/>
  <c r="Q23" i="60"/>
  <c r="C23" i="60" s="1"/>
  <c r="M23" i="60" s="1"/>
  <c r="Q14" i="61"/>
  <c r="C14" i="61" s="1"/>
  <c r="M14" i="61" s="1"/>
  <c r="Q17" i="61"/>
  <c r="C17" i="61" s="1"/>
  <c r="M17" i="61" s="1"/>
  <c r="Q19" i="61"/>
  <c r="C19" i="61" s="1"/>
  <c r="M19" i="61" s="1"/>
  <c r="Q8" i="62"/>
  <c r="C8" i="62" s="1"/>
  <c r="M8" i="62" s="1"/>
  <c r="Q13" i="62"/>
  <c r="C13" i="62" s="1"/>
  <c r="M13" i="62" s="1"/>
  <c r="Q15" i="62"/>
  <c r="C15" i="62" s="1"/>
  <c r="M15" i="62" s="1"/>
  <c r="Q4" i="63"/>
  <c r="C4" i="63" s="1"/>
  <c r="M4" i="63" s="1"/>
  <c r="Q9" i="63"/>
  <c r="C9" i="63" s="1"/>
  <c r="M9" i="63" s="1"/>
  <c r="Q11" i="63"/>
  <c r="C11" i="63" s="1"/>
  <c r="M11" i="63" s="1"/>
  <c r="Q20" i="63"/>
  <c r="C20" i="63" s="1"/>
  <c r="M20" i="63" s="1"/>
  <c r="Q5" i="64"/>
  <c r="C5" i="64" s="1"/>
  <c r="M5" i="64" s="1"/>
  <c r="Q7" i="64"/>
  <c r="C7" i="64" s="1"/>
  <c r="M7" i="64" s="1"/>
  <c r="Q16" i="64"/>
  <c r="C16" i="64" s="1"/>
  <c r="M16" i="64" s="1"/>
  <c r="Q21" i="64"/>
  <c r="C21" i="64" s="1"/>
  <c r="M21" i="64" s="1"/>
  <c r="Q23" i="64"/>
  <c r="C23" i="64" s="1"/>
  <c r="M23" i="64" s="1"/>
  <c r="Q12" i="66"/>
  <c r="C12" i="66" s="1"/>
  <c r="M12" i="66" s="1"/>
  <c r="Q10" i="67"/>
  <c r="C10" i="67" s="1"/>
  <c r="M10" i="67" s="1"/>
  <c r="Q15" i="68"/>
  <c r="C15" i="68" s="1"/>
  <c r="M15" i="68" s="1"/>
  <c r="Q16" i="69"/>
  <c r="C16" i="69" s="1"/>
  <c r="M16" i="69" s="1"/>
  <c r="Q14" i="70"/>
  <c r="C14" i="70" s="1"/>
  <c r="M14" i="70" s="1"/>
  <c r="Q5" i="75"/>
  <c r="C5" i="75" s="1"/>
  <c r="M5" i="75" s="1"/>
  <c r="Q12" i="75"/>
  <c r="C12" i="75" s="1"/>
  <c r="M12" i="75" s="1"/>
  <c r="Q11" i="75"/>
  <c r="C11" i="75" s="1"/>
  <c r="M11" i="75" s="1"/>
  <c r="Q4" i="75"/>
  <c r="C4" i="75" s="1"/>
  <c r="M4" i="75" s="1"/>
  <c r="Q8" i="75"/>
  <c r="C8" i="75" s="1"/>
  <c r="M8" i="75" s="1"/>
  <c r="Q15" i="75"/>
  <c r="C15" i="75" s="1"/>
  <c r="M15" i="75" s="1"/>
  <c r="Q16" i="75"/>
  <c r="C16" i="75" s="1"/>
  <c r="M16" i="75" s="1"/>
  <c r="Q7" i="75"/>
  <c r="C7" i="75" s="1"/>
  <c r="M7" i="75" s="1"/>
  <c r="Q23" i="65"/>
  <c r="C23" i="65" s="1"/>
  <c r="M23" i="65" s="1"/>
  <c r="Q8" i="66"/>
  <c r="C8" i="66" s="1"/>
  <c r="M8" i="66" s="1"/>
  <c r="Q10" i="66"/>
  <c r="C10" i="66" s="1"/>
  <c r="M10" i="66" s="1"/>
  <c r="Q19" i="66"/>
  <c r="C19" i="66" s="1"/>
  <c r="M19" i="66" s="1"/>
  <c r="Q4" i="67"/>
  <c r="C4" i="67" s="1"/>
  <c r="M4" i="67" s="1"/>
  <c r="Q6" i="67"/>
  <c r="C6" i="67" s="1"/>
  <c r="M6" i="67" s="1"/>
  <c r="Q15" i="67"/>
  <c r="C15" i="67" s="1"/>
  <c r="M15" i="67" s="1"/>
  <c r="Q20" i="67"/>
  <c r="C20" i="67" s="1"/>
  <c r="M20" i="67" s="1"/>
  <c r="Q22" i="67"/>
  <c r="C22" i="67" s="1"/>
  <c r="M22" i="67" s="1"/>
  <c r="Q11" i="68"/>
  <c r="C11" i="68" s="1"/>
  <c r="M11" i="68" s="1"/>
  <c r="Q16" i="68"/>
  <c r="C16" i="68" s="1"/>
  <c r="M16" i="68" s="1"/>
  <c r="Q18" i="68"/>
  <c r="C18" i="68" s="1"/>
  <c r="M18" i="68" s="1"/>
  <c r="Q7" i="69"/>
  <c r="C7" i="69" s="1"/>
  <c r="M7" i="69" s="1"/>
  <c r="Q12" i="69"/>
  <c r="C12" i="69" s="1"/>
  <c r="M12" i="69" s="1"/>
  <c r="Q14" i="69"/>
  <c r="C14" i="69" s="1"/>
  <c r="M14" i="69" s="1"/>
  <c r="Q23" i="69"/>
  <c r="C23" i="69" s="1"/>
  <c r="M23" i="69" s="1"/>
  <c r="Q8" i="70"/>
  <c r="C8" i="70" s="1"/>
  <c r="M8" i="70" s="1"/>
  <c r="Q10" i="70"/>
  <c r="C10" i="70" s="1"/>
  <c r="M10" i="70" s="1"/>
  <c r="Q19" i="70"/>
  <c r="C19" i="70" s="1"/>
  <c r="M19" i="70" s="1"/>
  <c r="Q15" i="71"/>
  <c r="C15" i="71" s="1"/>
  <c r="M15" i="71" s="1"/>
  <c r="Q12" i="71"/>
  <c r="C12" i="71" s="1"/>
  <c r="M12" i="71" s="1"/>
  <c r="Q8" i="71"/>
  <c r="C8" i="71" s="1"/>
  <c r="M8" i="71" s="1"/>
  <c r="Q4" i="71"/>
  <c r="C4" i="71" s="1"/>
  <c r="M4" i="71" s="1"/>
  <c r="Q6" i="71"/>
  <c r="C6" i="71" s="1"/>
  <c r="M6" i="71" s="1"/>
  <c r="Q16" i="71"/>
  <c r="C16" i="71" s="1"/>
  <c r="M16" i="71" s="1"/>
  <c r="Q19" i="73"/>
  <c r="C19" i="73" s="1"/>
  <c r="M19" i="73" s="1"/>
  <c r="Q18" i="61"/>
  <c r="C18" i="61" s="1"/>
  <c r="M18" i="61" s="1"/>
  <c r="Q22" i="61"/>
  <c r="C22" i="61" s="1"/>
  <c r="M22" i="61" s="1"/>
  <c r="Q6" i="62"/>
  <c r="C6" i="62" s="1"/>
  <c r="M6" i="62" s="1"/>
  <c r="Q10" i="62"/>
  <c r="C10" i="62" s="1"/>
  <c r="M10" i="62" s="1"/>
  <c r="Q14" i="62"/>
  <c r="C14" i="62" s="1"/>
  <c r="M14" i="62" s="1"/>
  <c r="Q18" i="62"/>
  <c r="C18" i="62" s="1"/>
  <c r="M18" i="62" s="1"/>
  <c r="Q22" i="62"/>
  <c r="C22" i="62" s="1"/>
  <c r="M22" i="62" s="1"/>
  <c r="Q6" i="63"/>
  <c r="C6" i="63" s="1"/>
  <c r="M6" i="63" s="1"/>
  <c r="Q10" i="63"/>
  <c r="C10" i="63" s="1"/>
  <c r="M10" i="63" s="1"/>
  <c r="Q14" i="63"/>
  <c r="C14" i="63" s="1"/>
  <c r="M14" i="63" s="1"/>
  <c r="Q18" i="63"/>
  <c r="C18" i="63" s="1"/>
  <c r="M18" i="63" s="1"/>
  <c r="Q22" i="63"/>
  <c r="C22" i="63" s="1"/>
  <c r="M22" i="63" s="1"/>
  <c r="Q6" i="64"/>
  <c r="C6" i="64" s="1"/>
  <c r="M6" i="64" s="1"/>
  <c r="Q10" i="64"/>
  <c r="C10" i="64" s="1"/>
  <c r="M10" i="64" s="1"/>
  <c r="Q14" i="64"/>
  <c r="C14" i="64" s="1"/>
  <c r="M14" i="64" s="1"/>
  <c r="Q18" i="64"/>
  <c r="C18" i="64" s="1"/>
  <c r="M18" i="64" s="1"/>
  <c r="Q22" i="64"/>
  <c r="C22" i="64" s="1"/>
  <c r="M22" i="64" s="1"/>
  <c r="Q6" i="65"/>
  <c r="C6" i="65" s="1"/>
  <c r="M6" i="65" s="1"/>
  <c r="Q10" i="65"/>
  <c r="C10" i="65" s="1"/>
  <c r="M10" i="65" s="1"/>
  <c r="Q19" i="65"/>
  <c r="C19" i="65" s="1"/>
  <c r="M19" i="65" s="1"/>
  <c r="Q4" i="66"/>
  <c r="C4" i="66" s="1"/>
  <c r="M4" i="66" s="1"/>
  <c r="Q6" i="66"/>
  <c r="C6" i="66" s="1"/>
  <c r="M6" i="66" s="1"/>
  <c r="Q15" i="66"/>
  <c r="C15" i="66" s="1"/>
  <c r="M15" i="66" s="1"/>
  <c r="Q20" i="66"/>
  <c r="C20" i="66" s="1"/>
  <c r="M20" i="66" s="1"/>
  <c r="Q22" i="66"/>
  <c r="C22" i="66" s="1"/>
  <c r="M22" i="66" s="1"/>
  <c r="Q11" i="67"/>
  <c r="C11" i="67" s="1"/>
  <c r="M11" i="67" s="1"/>
  <c r="Q16" i="67"/>
  <c r="C16" i="67" s="1"/>
  <c r="M16" i="67" s="1"/>
  <c r="Q18" i="67"/>
  <c r="C18" i="67" s="1"/>
  <c r="M18" i="67" s="1"/>
  <c r="Q7" i="68"/>
  <c r="C7" i="68" s="1"/>
  <c r="M7" i="68" s="1"/>
  <c r="Q12" i="68"/>
  <c r="C12" i="68" s="1"/>
  <c r="M12" i="68" s="1"/>
  <c r="Q14" i="68"/>
  <c r="C14" i="68" s="1"/>
  <c r="M14" i="68" s="1"/>
  <c r="Q23" i="68"/>
  <c r="C23" i="68" s="1"/>
  <c r="M23" i="68" s="1"/>
  <c r="Q8" i="69"/>
  <c r="C8" i="69" s="1"/>
  <c r="M8" i="69" s="1"/>
  <c r="Q10" i="69"/>
  <c r="C10" i="69" s="1"/>
  <c r="M10" i="69" s="1"/>
  <c r="Q19" i="69"/>
  <c r="C19" i="69" s="1"/>
  <c r="M19" i="69" s="1"/>
  <c r="Q20" i="70"/>
  <c r="C20" i="70" s="1"/>
  <c r="M20" i="70" s="1"/>
  <c r="Q6" i="70"/>
  <c r="C6" i="70" s="1"/>
  <c r="M6" i="70" s="1"/>
  <c r="Q15" i="70"/>
  <c r="C15" i="70" s="1"/>
  <c r="M15" i="70" s="1"/>
  <c r="Q22" i="70"/>
  <c r="C22" i="70" s="1"/>
  <c r="M22" i="70" s="1"/>
  <c r="Q11" i="71"/>
  <c r="C11" i="71" s="1"/>
  <c r="M11" i="71" s="1"/>
  <c r="Q13" i="73"/>
  <c r="C13" i="73" s="1"/>
  <c r="M13" i="73" s="1"/>
  <c r="Q12" i="65"/>
  <c r="C12" i="65" s="1"/>
  <c r="M12" i="65" s="1"/>
  <c r="Q14" i="65"/>
  <c r="C14" i="65" s="1"/>
  <c r="M14" i="65" s="1"/>
  <c r="Q20" i="65"/>
  <c r="C20" i="65" s="1"/>
  <c r="M20" i="65" s="1"/>
  <c r="Q22" i="65"/>
  <c r="C22" i="65" s="1"/>
  <c r="M22" i="65" s="1"/>
  <c r="Q11" i="66"/>
  <c r="C11" i="66" s="1"/>
  <c r="M11" i="66" s="1"/>
  <c r="Q16" i="66"/>
  <c r="C16" i="66" s="1"/>
  <c r="M16" i="66" s="1"/>
  <c r="Q18" i="66"/>
  <c r="C18" i="66" s="1"/>
  <c r="M18" i="66" s="1"/>
  <c r="Q7" i="67"/>
  <c r="C7" i="67" s="1"/>
  <c r="M7" i="67" s="1"/>
  <c r="Q12" i="67"/>
  <c r="C12" i="67" s="1"/>
  <c r="M12" i="67" s="1"/>
  <c r="Q14" i="67"/>
  <c r="C14" i="67" s="1"/>
  <c r="M14" i="67" s="1"/>
  <c r="Q23" i="67"/>
  <c r="C23" i="67" s="1"/>
  <c r="M23" i="67" s="1"/>
  <c r="Q8" i="68"/>
  <c r="C8" i="68" s="1"/>
  <c r="M8" i="68" s="1"/>
  <c r="Q10" i="68"/>
  <c r="C10" i="68" s="1"/>
  <c r="M10" i="68" s="1"/>
  <c r="Q19" i="68"/>
  <c r="C19" i="68" s="1"/>
  <c r="M19" i="68" s="1"/>
  <c r="Q4" i="69"/>
  <c r="C4" i="69" s="1"/>
  <c r="M4" i="69" s="1"/>
  <c r="Q6" i="69"/>
  <c r="C6" i="69" s="1"/>
  <c r="M6" i="69" s="1"/>
  <c r="Q15" i="69"/>
  <c r="C15" i="69" s="1"/>
  <c r="M15" i="69" s="1"/>
  <c r="Q20" i="69"/>
  <c r="C20" i="69" s="1"/>
  <c r="M20" i="69" s="1"/>
  <c r="Q22" i="69"/>
  <c r="C22" i="69" s="1"/>
  <c r="M22" i="69" s="1"/>
  <c r="Q11" i="70"/>
  <c r="C11" i="70" s="1"/>
  <c r="M11" i="70" s="1"/>
  <c r="Q18" i="70"/>
  <c r="C18" i="70" s="1"/>
  <c r="M18" i="70" s="1"/>
  <c r="Q7" i="71"/>
  <c r="C7" i="71" s="1"/>
  <c r="M7" i="71" s="1"/>
  <c r="Q11" i="73"/>
  <c r="C11" i="73" s="1"/>
  <c r="M11" i="73" s="1"/>
  <c r="Q20" i="71"/>
  <c r="C20" i="71" s="1"/>
  <c r="M20" i="71" s="1"/>
  <c r="Q19" i="72"/>
  <c r="C19" i="72" s="1"/>
  <c r="M19" i="72" s="1"/>
  <c r="Q16" i="72"/>
  <c r="C16" i="72" s="1"/>
  <c r="M16" i="72" s="1"/>
  <c r="Q15" i="72"/>
  <c r="C15" i="72" s="1"/>
  <c r="M15" i="72" s="1"/>
  <c r="Q4" i="72"/>
  <c r="C4" i="72" s="1"/>
  <c r="M4" i="72" s="1"/>
  <c r="Q8" i="72"/>
  <c r="C8" i="72" s="1"/>
  <c r="M8" i="72" s="1"/>
  <c r="Q12" i="72"/>
  <c r="C12" i="72" s="1"/>
  <c r="M12" i="72" s="1"/>
  <c r="Q20" i="72"/>
  <c r="C20" i="72" s="1"/>
  <c r="M20" i="72" s="1"/>
  <c r="Q6" i="73"/>
  <c r="C6" i="73" s="1"/>
  <c r="M6" i="73" s="1"/>
  <c r="Q8" i="73"/>
  <c r="C8" i="73" s="1"/>
  <c r="M8" i="73" s="1"/>
  <c r="Q14" i="73"/>
  <c r="C14" i="73" s="1"/>
  <c r="M14" i="73" s="1"/>
  <c r="Q16" i="73"/>
  <c r="C16" i="73" s="1"/>
  <c r="M16" i="73" s="1"/>
  <c r="Q22" i="73"/>
  <c r="C22" i="73" s="1"/>
  <c r="M22" i="73" s="1"/>
  <c r="Q16" i="74"/>
  <c r="C16" i="74" s="1"/>
  <c r="M16" i="74" s="1"/>
  <c r="Q15" i="74"/>
  <c r="C15" i="74" s="1"/>
  <c r="M15" i="74" s="1"/>
  <c r="Q4" i="74"/>
  <c r="C4" i="74" s="1"/>
  <c r="M4" i="74" s="1"/>
  <c r="Q23" i="74"/>
  <c r="C23" i="74" s="1"/>
  <c r="M23" i="74" s="1"/>
  <c r="Q8" i="74"/>
  <c r="C8" i="74" s="1"/>
  <c r="M8" i="74" s="1"/>
  <c r="Q7" i="74"/>
  <c r="C7" i="74" s="1"/>
  <c r="M7" i="74" s="1"/>
  <c r="Q14" i="74"/>
  <c r="C14" i="74" s="1"/>
  <c r="M14" i="74" s="1"/>
  <c r="Q20" i="74"/>
  <c r="C20" i="74" s="1"/>
  <c r="M20" i="74" s="1"/>
  <c r="Q10" i="75"/>
  <c r="C10" i="75" s="1"/>
  <c r="M10" i="75" s="1"/>
  <c r="Q17" i="65"/>
  <c r="C17" i="65" s="1"/>
  <c r="M17" i="65" s="1"/>
  <c r="Q21" i="65"/>
  <c r="C21" i="65" s="1"/>
  <c r="M21" i="65" s="1"/>
  <c r="Q5" i="66"/>
  <c r="C5" i="66" s="1"/>
  <c r="M5" i="66" s="1"/>
  <c r="Q9" i="66"/>
  <c r="C9" i="66" s="1"/>
  <c r="M9" i="66" s="1"/>
  <c r="Q13" i="66"/>
  <c r="C13" i="66" s="1"/>
  <c r="M13" i="66" s="1"/>
  <c r="Q17" i="66"/>
  <c r="C17" i="66" s="1"/>
  <c r="M17" i="66" s="1"/>
  <c r="Q21" i="66"/>
  <c r="C21" i="66" s="1"/>
  <c r="M21" i="66" s="1"/>
  <c r="Q5" i="67"/>
  <c r="C5" i="67" s="1"/>
  <c r="M5" i="67" s="1"/>
  <c r="Q9" i="67"/>
  <c r="C9" i="67" s="1"/>
  <c r="M9" i="67" s="1"/>
  <c r="Q13" i="67"/>
  <c r="C13" i="67" s="1"/>
  <c r="M13" i="67" s="1"/>
  <c r="Q17" i="67"/>
  <c r="C17" i="67" s="1"/>
  <c r="M17" i="67" s="1"/>
  <c r="Q21" i="67"/>
  <c r="C21" i="67" s="1"/>
  <c r="M21" i="67" s="1"/>
  <c r="Q5" i="68"/>
  <c r="C5" i="68" s="1"/>
  <c r="M5" i="68" s="1"/>
  <c r="Q9" i="68"/>
  <c r="C9" i="68" s="1"/>
  <c r="M9" i="68" s="1"/>
  <c r="Q13" i="68"/>
  <c r="C13" i="68" s="1"/>
  <c r="M13" i="68" s="1"/>
  <c r="Q17" i="68"/>
  <c r="C17" i="68" s="1"/>
  <c r="M17" i="68" s="1"/>
  <c r="Q21" i="68"/>
  <c r="C21" i="68" s="1"/>
  <c r="M21" i="68" s="1"/>
  <c r="Q5" i="69"/>
  <c r="C5" i="69" s="1"/>
  <c r="M5" i="69" s="1"/>
  <c r="Q9" i="69"/>
  <c r="C9" i="69" s="1"/>
  <c r="M9" i="69" s="1"/>
  <c r="Q13" i="69"/>
  <c r="C13" i="69" s="1"/>
  <c r="M13" i="69" s="1"/>
  <c r="Q17" i="69"/>
  <c r="C17" i="69" s="1"/>
  <c r="M17" i="69" s="1"/>
  <c r="Q21" i="69"/>
  <c r="C21" i="69" s="1"/>
  <c r="M21" i="69" s="1"/>
  <c r="Q5" i="70"/>
  <c r="C5" i="70" s="1"/>
  <c r="M5" i="70" s="1"/>
  <c r="Q9" i="70"/>
  <c r="C9" i="70" s="1"/>
  <c r="M9" i="70" s="1"/>
  <c r="Q13" i="70"/>
  <c r="C13" i="70" s="1"/>
  <c r="M13" i="70" s="1"/>
  <c r="Q17" i="70"/>
  <c r="C17" i="70" s="1"/>
  <c r="M17" i="70" s="1"/>
  <c r="Q21" i="70"/>
  <c r="C21" i="70" s="1"/>
  <c r="M21" i="70" s="1"/>
  <c r="Q19" i="71"/>
  <c r="C19" i="71" s="1"/>
  <c r="M19" i="71" s="1"/>
  <c r="Q5" i="71"/>
  <c r="C5" i="71" s="1"/>
  <c r="M5" i="71" s="1"/>
  <c r="Q9" i="71"/>
  <c r="C9" i="71" s="1"/>
  <c r="M9" i="71" s="1"/>
  <c r="Q14" i="71"/>
  <c r="C14" i="71" s="1"/>
  <c r="M14" i="71" s="1"/>
  <c r="Q17" i="71"/>
  <c r="C17" i="71" s="1"/>
  <c r="M17" i="71" s="1"/>
  <c r="Q21" i="71"/>
  <c r="C21" i="71" s="1"/>
  <c r="M21" i="71" s="1"/>
  <c r="Q23" i="71"/>
  <c r="C23" i="71" s="1"/>
  <c r="M23" i="71" s="1"/>
  <c r="Q5" i="72"/>
  <c r="C5" i="72" s="1"/>
  <c r="M5" i="72" s="1"/>
  <c r="Q7" i="72"/>
  <c r="C7" i="72" s="1"/>
  <c r="M7" i="72" s="1"/>
  <c r="Q9" i="72"/>
  <c r="C9" i="72" s="1"/>
  <c r="M9" i="72" s="1"/>
  <c r="Q11" i="72"/>
  <c r="C11" i="72" s="1"/>
  <c r="M11" i="72" s="1"/>
  <c r="Q17" i="72"/>
  <c r="C17" i="72" s="1"/>
  <c r="M17" i="72" s="1"/>
  <c r="Q21" i="72"/>
  <c r="C21" i="72" s="1"/>
  <c r="M21" i="72" s="1"/>
  <c r="Q7" i="73"/>
  <c r="C7" i="73" s="1"/>
  <c r="M7" i="73" s="1"/>
  <c r="Q9" i="73"/>
  <c r="C9" i="73" s="1"/>
  <c r="M9" i="73" s="1"/>
  <c r="Q15" i="73"/>
  <c r="C15" i="73" s="1"/>
  <c r="M15" i="73" s="1"/>
  <c r="Q17" i="73"/>
  <c r="C17" i="73" s="1"/>
  <c r="M17" i="73" s="1"/>
  <c r="Q23" i="73"/>
  <c r="C23" i="73" s="1"/>
  <c r="M23" i="73" s="1"/>
  <c r="Q5" i="74"/>
  <c r="C5" i="74" s="1"/>
  <c r="M5" i="74" s="1"/>
  <c r="Q17" i="74"/>
  <c r="C17" i="74" s="1"/>
  <c r="M17" i="74" s="1"/>
  <c r="Q19" i="74"/>
  <c r="C19" i="74" s="1"/>
  <c r="M19" i="74" s="1"/>
  <c r="Q13" i="75"/>
  <c r="C13" i="75" s="1"/>
  <c r="M13" i="75" s="1"/>
  <c r="Q22" i="75"/>
  <c r="C22" i="75" s="1"/>
  <c r="M22" i="75" s="1"/>
  <c r="Q4" i="70"/>
  <c r="C4" i="70" s="1"/>
  <c r="M4" i="70" s="1"/>
  <c r="Q12" i="70"/>
  <c r="C12" i="70" s="1"/>
  <c r="M12" i="70" s="1"/>
  <c r="Q16" i="70"/>
  <c r="C16" i="70" s="1"/>
  <c r="M16" i="70" s="1"/>
  <c r="Q18" i="71"/>
  <c r="C18" i="71" s="1"/>
  <c r="M18" i="71" s="1"/>
  <c r="Q10" i="72"/>
  <c r="C10" i="72" s="1"/>
  <c r="M10" i="72" s="1"/>
  <c r="Q13" i="72"/>
  <c r="C13" i="72" s="1"/>
  <c r="M13" i="72" s="1"/>
  <c r="Q18" i="72"/>
  <c r="C18" i="72" s="1"/>
  <c r="M18" i="72" s="1"/>
  <c r="Q22" i="72"/>
  <c r="C22" i="72" s="1"/>
  <c r="M22" i="72" s="1"/>
  <c r="Q4" i="73"/>
  <c r="C4" i="73" s="1"/>
  <c r="M4" i="73" s="1"/>
  <c r="Q10" i="73"/>
  <c r="C10" i="73" s="1"/>
  <c r="M10" i="73" s="1"/>
  <c r="Q12" i="73"/>
  <c r="C12" i="73" s="1"/>
  <c r="M12" i="73" s="1"/>
  <c r="Q18" i="73"/>
  <c r="C18" i="73" s="1"/>
  <c r="M18" i="73" s="1"/>
  <c r="Q20" i="73"/>
  <c r="C20" i="73" s="1"/>
  <c r="M20" i="73" s="1"/>
  <c r="Q6" i="74"/>
  <c r="C6" i="74" s="1"/>
  <c r="M6" i="74" s="1"/>
  <c r="Q12" i="74"/>
  <c r="C12" i="74" s="1"/>
  <c r="M12" i="74" s="1"/>
  <c r="Q22" i="74"/>
  <c r="C22" i="74" s="1"/>
  <c r="M22" i="74" s="1"/>
  <c r="Q21" i="75"/>
  <c r="C21" i="75" s="1"/>
  <c r="M21" i="75" s="1"/>
  <c r="Q18" i="75"/>
  <c r="C18" i="75" s="1"/>
  <c r="M18" i="75" s="1"/>
  <c r="Q22" i="71"/>
  <c r="C22" i="71" s="1"/>
  <c r="M22" i="71" s="1"/>
  <c r="Q6" i="72"/>
  <c r="C6" i="72" s="1"/>
  <c r="M6" i="72" s="1"/>
  <c r="Q18" i="74"/>
  <c r="C18" i="74" s="1"/>
  <c r="M18" i="74" s="1"/>
  <c r="Q21" i="74"/>
  <c r="C21" i="74" s="1"/>
  <c r="M21" i="74" s="1"/>
  <c r="Q14" i="75"/>
  <c r="C14" i="75" s="1"/>
  <c r="M14" i="75" s="1"/>
  <c r="Q17" i="75"/>
  <c r="C17" i="75" s="1"/>
  <c r="M17" i="75" s="1"/>
  <c r="Q22" i="76"/>
  <c r="C22" i="76" s="1"/>
  <c r="M22" i="76" s="1"/>
  <c r="Q18" i="76"/>
  <c r="C18" i="76" s="1"/>
  <c r="M18" i="76" s="1"/>
  <c r="Q10" i="77"/>
  <c r="C10" i="77" s="1"/>
  <c r="M10" i="77" s="1"/>
  <c r="Q5" i="77"/>
  <c r="C5" i="77" s="1"/>
  <c r="M5" i="77" s="1"/>
  <c r="Q14" i="77"/>
  <c r="C14" i="77" s="1"/>
  <c r="M14" i="77" s="1"/>
  <c r="Q14" i="78"/>
  <c r="C14" i="78" s="1"/>
  <c r="M14" i="78" s="1"/>
  <c r="Q9" i="78"/>
  <c r="C9" i="78" s="1"/>
  <c r="M9" i="78" s="1"/>
  <c r="Q21" i="78"/>
  <c r="C21" i="78" s="1"/>
  <c r="M21" i="78" s="1"/>
  <c r="Q5" i="78"/>
  <c r="C5" i="78" s="1"/>
  <c r="M5" i="78" s="1"/>
  <c r="Q17" i="78"/>
  <c r="C17" i="78" s="1"/>
  <c r="M17" i="78" s="1"/>
  <c r="Q6" i="78"/>
  <c r="C6" i="78" s="1"/>
  <c r="M6" i="78" s="1"/>
  <c r="Q10" i="78"/>
  <c r="C10" i="78" s="1"/>
  <c r="M10" i="78" s="1"/>
  <c r="Q22" i="78"/>
  <c r="C22" i="78" s="1"/>
  <c r="M22" i="78" s="1"/>
  <c r="Q22" i="79"/>
  <c r="C22" i="79" s="1"/>
  <c r="M22" i="79" s="1"/>
  <c r="Q14" i="72"/>
  <c r="C14" i="72" s="1"/>
  <c r="M14" i="72" s="1"/>
  <c r="Q10" i="74"/>
  <c r="C10" i="74" s="1"/>
  <c r="M10" i="74" s="1"/>
  <c r="Q13" i="74"/>
  <c r="C13" i="74" s="1"/>
  <c r="M13" i="74" s="1"/>
  <c r="Q6" i="75"/>
  <c r="C6" i="75" s="1"/>
  <c r="M6" i="75" s="1"/>
  <c r="Q9" i="75"/>
  <c r="C9" i="75" s="1"/>
  <c r="M9" i="75" s="1"/>
  <c r="Q23" i="75"/>
  <c r="C23" i="75" s="1"/>
  <c r="M23" i="75" s="1"/>
  <c r="Q19" i="76"/>
  <c r="C19" i="76" s="1"/>
  <c r="M19" i="76" s="1"/>
  <c r="Q18" i="77"/>
  <c r="C18" i="77" s="1"/>
  <c r="M18" i="77" s="1"/>
  <c r="Q15" i="77"/>
  <c r="C15" i="77" s="1"/>
  <c r="M15" i="77" s="1"/>
  <c r="Q11" i="78"/>
  <c r="C11" i="78" s="1"/>
  <c r="M11" i="78" s="1"/>
  <c r="Q7" i="79"/>
  <c r="C7" i="79" s="1"/>
  <c r="M7" i="79" s="1"/>
  <c r="Q7" i="76"/>
  <c r="C7" i="76" s="1"/>
  <c r="M7" i="76" s="1"/>
  <c r="Q9" i="76"/>
  <c r="C9" i="76" s="1"/>
  <c r="M9" i="76" s="1"/>
  <c r="Q12" i="76"/>
  <c r="C12" i="76" s="1"/>
  <c r="M12" i="76" s="1"/>
  <c r="Q23" i="76"/>
  <c r="C23" i="76" s="1"/>
  <c r="M23" i="76" s="1"/>
  <c r="Q8" i="77"/>
  <c r="C8" i="77" s="1"/>
  <c r="M8" i="77" s="1"/>
  <c r="Q19" i="77"/>
  <c r="C19" i="77" s="1"/>
  <c r="M19" i="77" s="1"/>
  <c r="Q21" i="77"/>
  <c r="C21" i="77" s="1"/>
  <c r="M21" i="77" s="1"/>
  <c r="Q4" i="78"/>
  <c r="C4" i="78" s="1"/>
  <c r="M4" i="78" s="1"/>
  <c r="Q15" i="78"/>
  <c r="C15" i="78" s="1"/>
  <c r="M15" i="78" s="1"/>
  <c r="Q20" i="78"/>
  <c r="C20" i="78" s="1"/>
  <c r="M20" i="78" s="1"/>
  <c r="Q11" i="79"/>
  <c r="C11" i="79" s="1"/>
  <c r="M11" i="79" s="1"/>
  <c r="Q13" i="79"/>
  <c r="C13" i="79" s="1"/>
  <c r="M13" i="79" s="1"/>
  <c r="Q16" i="79"/>
  <c r="C16" i="79" s="1"/>
  <c r="M16" i="79" s="1"/>
  <c r="Q20" i="75"/>
  <c r="C20" i="75" s="1"/>
  <c r="M20" i="75" s="1"/>
  <c r="Q11" i="76"/>
  <c r="C11" i="76" s="1"/>
  <c r="M11" i="76" s="1"/>
  <c r="Q13" i="76"/>
  <c r="C13" i="76" s="1"/>
  <c r="M13" i="76" s="1"/>
  <c r="Q16" i="76"/>
  <c r="C16" i="76" s="1"/>
  <c r="M16" i="76" s="1"/>
  <c r="Q7" i="77"/>
  <c r="C7" i="77" s="1"/>
  <c r="M7" i="77" s="1"/>
  <c r="Q9" i="77"/>
  <c r="C9" i="77" s="1"/>
  <c r="M9" i="77" s="1"/>
  <c r="Q12" i="77"/>
  <c r="C12" i="77" s="1"/>
  <c r="M12" i="77" s="1"/>
  <c r="Q23" i="77"/>
  <c r="C23" i="77" s="1"/>
  <c r="M23" i="77" s="1"/>
  <c r="Q8" i="78"/>
  <c r="C8" i="78" s="1"/>
  <c r="M8" i="78" s="1"/>
  <c r="Q19" i="78"/>
  <c r="C19" i="78" s="1"/>
  <c r="M19" i="78" s="1"/>
  <c r="Q4" i="79"/>
  <c r="C4" i="79" s="1"/>
  <c r="M4" i="79" s="1"/>
  <c r="Q6" i="79"/>
  <c r="C6" i="79" s="1"/>
  <c r="M6" i="79" s="1"/>
  <c r="Q15" i="79"/>
  <c r="C15" i="79" s="1"/>
  <c r="M15" i="79" s="1"/>
  <c r="Q17" i="79"/>
  <c r="C17" i="79" s="1"/>
  <c r="M17" i="79" s="1"/>
  <c r="Q20" i="79"/>
  <c r="C20" i="79" s="1"/>
  <c r="M20" i="79" s="1"/>
  <c r="Q19" i="75"/>
  <c r="C19" i="75" s="1"/>
  <c r="M19" i="75" s="1"/>
  <c r="Q4" i="76"/>
  <c r="C4" i="76" s="1"/>
  <c r="M4" i="76" s="1"/>
  <c r="Q6" i="76"/>
  <c r="C6" i="76" s="1"/>
  <c r="M6" i="76" s="1"/>
  <c r="Q15" i="76"/>
  <c r="C15" i="76" s="1"/>
  <c r="M15" i="76" s="1"/>
  <c r="Q17" i="76"/>
  <c r="C17" i="76" s="1"/>
  <c r="M17" i="76" s="1"/>
  <c r="Q20" i="76"/>
  <c r="C20" i="76" s="1"/>
  <c r="M20" i="76" s="1"/>
  <c r="Q11" i="77"/>
  <c r="C11" i="77" s="1"/>
  <c r="M11" i="77" s="1"/>
  <c r="Q13" i="77"/>
  <c r="C13" i="77" s="1"/>
  <c r="M13" i="77" s="1"/>
  <c r="Q16" i="77"/>
  <c r="C16" i="77" s="1"/>
  <c r="M16" i="77" s="1"/>
  <c r="Q7" i="78"/>
  <c r="C7" i="78" s="1"/>
  <c r="M7" i="78" s="1"/>
  <c r="Q12" i="78"/>
  <c r="C12" i="78" s="1"/>
  <c r="M12" i="78" s="1"/>
  <c r="Q23" i="78"/>
  <c r="C23" i="78" s="1"/>
  <c r="M23" i="78" s="1"/>
  <c r="Q5" i="79"/>
  <c r="C5" i="79" s="1"/>
  <c r="M5" i="79" s="1"/>
  <c r="Q8" i="79"/>
  <c r="C8" i="79" s="1"/>
  <c r="M8" i="79" s="1"/>
  <c r="Q10" i="79"/>
  <c r="C10" i="79" s="1"/>
  <c r="M10" i="79" s="1"/>
  <c r="Q19" i="79"/>
  <c r="C19" i="79" s="1"/>
  <c r="M19" i="79" s="1"/>
  <c r="Q23" i="79"/>
  <c r="C23" i="79" s="1"/>
  <c r="M23" i="79" s="1"/>
  <c r="N4" i="4" l="1"/>
  <c r="J18" i="5"/>
  <c r="L7" i="13"/>
  <c r="L15" i="13"/>
  <c r="Q11" i="19"/>
  <c r="C11" i="19" s="1"/>
  <c r="M11" i="19" s="1"/>
  <c r="Q16" i="19"/>
  <c r="C16" i="19" s="1"/>
  <c r="M16" i="19" s="1"/>
  <c r="L6" i="13"/>
  <c r="Q11" i="27"/>
  <c r="C11" i="27" s="1"/>
  <c r="M11" i="27" s="1"/>
  <c r="L12" i="13"/>
  <c r="Q7" i="20"/>
  <c r="C7" i="20" s="1"/>
  <c r="M7" i="20" s="1"/>
  <c r="Q16" i="23"/>
  <c r="C16" i="23" s="1"/>
  <c r="M16" i="23" s="1"/>
  <c r="L10" i="13"/>
  <c r="L21" i="13"/>
  <c r="L22" i="13"/>
  <c r="L11" i="13"/>
  <c r="L16" i="13"/>
  <c r="B28" i="13" s="1"/>
  <c r="Q19" i="23"/>
  <c r="C19" i="23" s="1"/>
  <c r="M19" i="23" s="1"/>
  <c r="L18" i="13"/>
  <c r="L17" i="13"/>
  <c r="Q23" i="28"/>
  <c r="C23" i="28" s="1"/>
  <c r="M23" i="28" s="1"/>
  <c r="Q12" i="28"/>
  <c r="C12" i="28" s="1"/>
  <c r="M12" i="28" s="1"/>
  <c r="Q19" i="24"/>
  <c r="C19" i="24" s="1"/>
  <c r="M19" i="24" s="1"/>
  <c r="Q7" i="28"/>
  <c r="C7" i="28" s="1"/>
  <c r="M7" i="28" s="1"/>
  <c r="Q12" i="24"/>
  <c r="C12" i="24" s="1"/>
  <c r="M12" i="24" s="1"/>
  <c r="Q23" i="20"/>
  <c r="C23" i="20" s="1"/>
  <c r="M23" i="20" s="1"/>
  <c r="J21" i="5"/>
  <c r="N12" i="4"/>
  <c r="N18" i="4"/>
  <c r="Q16" i="27"/>
  <c r="C16" i="27" s="1"/>
  <c r="M16" i="27" s="1"/>
  <c r="Q23" i="24"/>
  <c r="C23" i="24" s="1"/>
  <c r="M23" i="24" s="1"/>
  <c r="Q11" i="23"/>
  <c r="C11" i="23" s="1"/>
  <c r="M11" i="23" s="1"/>
  <c r="Q12" i="20"/>
  <c r="C12" i="20" s="1"/>
  <c r="M12" i="20" s="1"/>
  <c r="J22" i="5"/>
  <c r="Q15" i="24"/>
  <c r="C15" i="24" s="1"/>
  <c r="M15" i="24" s="1"/>
  <c r="Q7" i="27"/>
  <c r="C7" i="27" s="1"/>
  <c r="M7" i="27" s="1"/>
  <c r="Q8" i="24"/>
  <c r="C8" i="24" s="1"/>
  <c r="M8" i="24" s="1"/>
  <c r="Q20" i="27"/>
  <c r="C20" i="27" s="1"/>
  <c r="M20" i="27" s="1"/>
  <c r="N5" i="4"/>
  <c r="Q15" i="27"/>
  <c r="C15" i="27" s="1"/>
  <c r="M15" i="27" s="1"/>
  <c r="Q7" i="24"/>
  <c r="C7" i="24" s="1"/>
  <c r="M7" i="24" s="1"/>
  <c r="N21" i="4"/>
  <c r="J9" i="5"/>
  <c r="J7" i="5"/>
  <c r="Q15" i="22"/>
  <c r="C15" i="22" s="1"/>
  <c r="M15" i="22" s="1"/>
  <c r="Q20" i="18"/>
  <c r="C20" i="18" s="1"/>
  <c r="M20" i="18" s="1"/>
  <c r="N13" i="4"/>
  <c r="Q23" i="22"/>
  <c r="C23" i="22" s="1"/>
  <c r="M23" i="22" s="1"/>
  <c r="Q8" i="28"/>
  <c r="C8" i="28" s="1"/>
  <c r="M8" i="28" s="1"/>
  <c r="Q16" i="28"/>
  <c r="C16" i="28" s="1"/>
  <c r="M16" i="28" s="1"/>
  <c r="Q16" i="24"/>
  <c r="C16" i="24" s="1"/>
  <c r="M16" i="24" s="1"/>
  <c r="Q8" i="18"/>
  <c r="C8" i="18" s="1"/>
  <c r="M8" i="18" s="1"/>
  <c r="L19" i="13"/>
  <c r="B29" i="13" s="1"/>
  <c r="L4" i="13"/>
  <c r="Q23" i="27"/>
  <c r="C23" i="27" s="1"/>
  <c r="M23" i="27" s="1"/>
  <c r="Q15" i="20"/>
  <c r="C15" i="20" s="1"/>
  <c r="M15" i="20" s="1"/>
  <c r="L20" i="13"/>
  <c r="J12" i="5"/>
  <c r="N7" i="4"/>
  <c r="Q15" i="18"/>
  <c r="C15" i="18" s="1"/>
  <c r="M15" i="18" s="1"/>
  <c r="Q11" i="28"/>
  <c r="C11" i="28" s="1"/>
  <c r="M11" i="28" s="1"/>
  <c r="Q15" i="19"/>
  <c r="C15" i="19" s="1"/>
  <c r="M15" i="19" s="1"/>
  <c r="L13" i="13"/>
  <c r="L9" i="13"/>
  <c r="N16" i="4"/>
  <c r="N10" i="4"/>
  <c r="J6" i="5"/>
  <c r="J19" i="5"/>
  <c r="L14" i="13"/>
  <c r="Q12" i="26"/>
  <c r="C12" i="26" s="1"/>
  <c r="M12" i="26" s="1"/>
  <c r="Q20" i="26"/>
  <c r="C20" i="26" s="1"/>
  <c r="M20" i="26" s="1"/>
  <c r="Q4" i="22"/>
  <c r="C4" i="22" s="1"/>
  <c r="M4" i="22" s="1"/>
  <c r="Q13" i="22"/>
  <c r="C13" i="22" s="1"/>
  <c r="M13" i="22" s="1"/>
  <c r="Q10" i="22"/>
  <c r="C10" i="22" s="1"/>
  <c r="M10" i="22" s="1"/>
  <c r="Q17" i="22"/>
  <c r="C17" i="22" s="1"/>
  <c r="M17" i="22" s="1"/>
  <c r="Q14" i="22"/>
  <c r="C14" i="22" s="1"/>
  <c r="M14" i="22" s="1"/>
  <c r="Q5" i="22"/>
  <c r="C5" i="22" s="1"/>
  <c r="M5" i="22" s="1"/>
  <c r="Q6" i="22"/>
  <c r="C6" i="22" s="1"/>
  <c r="M6" i="22" s="1"/>
  <c r="Q21" i="22"/>
  <c r="C21" i="22" s="1"/>
  <c r="M21" i="22" s="1"/>
  <c r="Q18" i="22"/>
  <c r="C18" i="22" s="1"/>
  <c r="M18" i="22" s="1"/>
  <c r="Q22" i="22"/>
  <c r="C22" i="22" s="1"/>
  <c r="M22" i="22" s="1"/>
  <c r="Q9" i="22"/>
  <c r="C9" i="22" s="1"/>
  <c r="M9" i="22" s="1"/>
  <c r="Q12" i="22"/>
  <c r="C12" i="22" s="1"/>
  <c r="M12" i="22" s="1"/>
  <c r="Q4" i="20"/>
  <c r="C4" i="20" s="1"/>
  <c r="M4" i="20" s="1"/>
  <c r="Q21" i="20"/>
  <c r="C21" i="20" s="1"/>
  <c r="M21" i="20" s="1"/>
  <c r="Q18" i="20"/>
  <c r="C18" i="20" s="1"/>
  <c r="M18" i="20" s="1"/>
  <c r="Q5" i="20"/>
  <c r="C5" i="20" s="1"/>
  <c r="M5" i="20" s="1"/>
  <c r="Q13" i="20"/>
  <c r="C13" i="20" s="1"/>
  <c r="M13" i="20" s="1"/>
  <c r="Q10" i="20"/>
  <c r="C10" i="20" s="1"/>
  <c r="M10" i="20" s="1"/>
  <c r="Q14" i="20"/>
  <c r="C14" i="20" s="1"/>
  <c r="M14" i="20" s="1"/>
  <c r="Q22" i="20"/>
  <c r="C22" i="20" s="1"/>
  <c r="M22" i="20" s="1"/>
  <c r="Q9" i="20"/>
  <c r="C9" i="20" s="1"/>
  <c r="M9" i="20" s="1"/>
  <c r="Q6" i="20"/>
  <c r="C6" i="20" s="1"/>
  <c r="M6" i="20" s="1"/>
  <c r="Q17" i="20"/>
  <c r="C17" i="20" s="1"/>
  <c r="M17" i="20" s="1"/>
  <c r="N6" i="4"/>
  <c r="Q8" i="26"/>
  <c r="C8" i="26" s="1"/>
  <c r="M8" i="26" s="1"/>
  <c r="Q4" i="23"/>
  <c r="C4" i="23" s="1"/>
  <c r="M4" i="23" s="1"/>
  <c r="Q22" i="23"/>
  <c r="C22" i="23" s="1"/>
  <c r="M22" i="23" s="1"/>
  <c r="Q9" i="23"/>
  <c r="C9" i="23" s="1"/>
  <c r="M9" i="23" s="1"/>
  <c r="Q6" i="23"/>
  <c r="C6" i="23" s="1"/>
  <c r="M6" i="23" s="1"/>
  <c r="Q5" i="23"/>
  <c r="C5" i="23" s="1"/>
  <c r="M5" i="23" s="1"/>
  <c r="Q13" i="23"/>
  <c r="C13" i="23" s="1"/>
  <c r="M13" i="23" s="1"/>
  <c r="Q10" i="23"/>
  <c r="C10" i="23" s="1"/>
  <c r="M10" i="23" s="1"/>
  <c r="Q14" i="23"/>
  <c r="C14" i="23" s="1"/>
  <c r="M14" i="23" s="1"/>
  <c r="Q18" i="23"/>
  <c r="C18" i="23" s="1"/>
  <c r="M18" i="23" s="1"/>
  <c r="Q17" i="23"/>
  <c r="C17" i="23" s="1"/>
  <c r="M17" i="23" s="1"/>
  <c r="Q21" i="23"/>
  <c r="C21" i="23" s="1"/>
  <c r="M21" i="23" s="1"/>
  <c r="Q16" i="20"/>
  <c r="C16" i="20" s="1"/>
  <c r="M16" i="20" s="1"/>
  <c r="Q4" i="24"/>
  <c r="C4" i="24" s="1"/>
  <c r="M4" i="24" s="1"/>
  <c r="Q21" i="24"/>
  <c r="C21" i="24" s="1"/>
  <c r="M21" i="24" s="1"/>
  <c r="Q18" i="24"/>
  <c r="C18" i="24" s="1"/>
  <c r="M18" i="24" s="1"/>
  <c r="Q5" i="24"/>
  <c r="C5" i="24" s="1"/>
  <c r="M5" i="24" s="1"/>
  <c r="Q22" i="24"/>
  <c r="C22" i="24" s="1"/>
  <c r="M22" i="24" s="1"/>
  <c r="Q9" i="24"/>
  <c r="C9" i="24" s="1"/>
  <c r="M9" i="24" s="1"/>
  <c r="Q6" i="24"/>
  <c r="C6" i="24" s="1"/>
  <c r="M6" i="24" s="1"/>
  <c r="Q13" i="24"/>
  <c r="C13" i="24" s="1"/>
  <c r="M13" i="24" s="1"/>
  <c r="Q10" i="24"/>
  <c r="C10" i="24" s="1"/>
  <c r="M10" i="24" s="1"/>
  <c r="Q17" i="24"/>
  <c r="C17" i="24" s="1"/>
  <c r="M17" i="24" s="1"/>
  <c r="Q14" i="24"/>
  <c r="C14" i="24" s="1"/>
  <c r="M14" i="24" s="1"/>
  <c r="Q20" i="20"/>
  <c r="C20" i="20" s="1"/>
  <c r="M20" i="20" s="1"/>
  <c r="J10" i="5"/>
  <c r="N8" i="4"/>
  <c r="Q12" i="27"/>
  <c r="C12" i="27" s="1"/>
  <c r="M12" i="27" s="1"/>
  <c r="Q7" i="23"/>
  <c r="C7" i="23" s="1"/>
  <c r="M7" i="23" s="1"/>
  <c r="Q19" i="20"/>
  <c r="C19" i="20" s="1"/>
  <c r="M19" i="20" s="1"/>
  <c r="J14" i="5"/>
  <c r="Q19" i="27"/>
  <c r="C19" i="27" s="1"/>
  <c r="M19" i="27" s="1"/>
  <c r="Q20" i="24"/>
  <c r="C20" i="24" s="1"/>
  <c r="M20" i="24" s="1"/>
  <c r="Q19" i="19"/>
  <c r="C19" i="19" s="1"/>
  <c r="M19" i="19" s="1"/>
  <c r="J8" i="5"/>
  <c r="N11" i="4"/>
  <c r="J17" i="5"/>
  <c r="N19" i="4"/>
  <c r="Q19" i="26"/>
  <c r="C19" i="26" s="1"/>
  <c r="M19" i="26" s="1"/>
  <c r="Q15" i="26"/>
  <c r="C15" i="26" s="1"/>
  <c r="M15" i="26" s="1"/>
  <c r="Q20" i="22"/>
  <c r="C20" i="22" s="1"/>
  <c r="M20" i="22" s="1"/>
  <c r="Q4" i="18"/>
  <c r="C4" i="18" s="1"/>
  <c r="M4" i="18" s="1"/>
  <c r="Q13" i="18"/>
  <c r="C13" i="18" s="1"/>
  <c r="M13" i="18" s="1"/>
  <c r="Q10" i="18"/>
  <c r="C10" i="18" s="1"/>
  <c r="M10" i="18" s="1"/>
  <c r="Q18" i="18"/>
  <c r="C18" i="18" s="1"/>
  <c r="M18" i="18" s="1"/>
  <c r="Q5" i="18"/>
  <c r="C5" i="18" s="1"/>
  <c r="M5" i="18" s="1"/>
  <c r="Q22" i="18"/>
  <c r="C22" i="18" s="1"/>
  <c r="M22" i="18" s="1"/>
  <c r="Q9" i="18"/>
  <c r="C9" i="18" s="1"/>
  <c r="M9" i="18" s="1"/>
  <c r="Q6" i="18"/>
  <c r="C6" i="18" s="1"/>
  <c r="M6" i="18" s="1"/>
  <c r="Q17" i="18"/>
  <c r="C17" i="18" s="1"/>
  <c r="M17" i="18" s="1"/>
  <c r="Q14" i="18"/>
  <c r="C14" i="18" s="1"/>
  <c r="M14" i="18" s="1"/>
  <c r="Q21" i="18"/>
  <c r="C21" i="18" s="1"/>
  <c r="M21" i="18" s="1"/>
  <c r="Q23" i="18"/>
  <c r="C23" i="18" s="1"/>
  <c r="M23" i="18" s="1"/>
  <c r="Q20" i="23"/>
  <c r="C20" i="23" s="1"/>
  <c r="M20" i="23" s="1"/>
  <c r="Q19" i="22"/>
  <c r="C19" i="22" s="1"/>
  <c r="M19" i="22" s="1"/>
  <c r="Q11" i="20"/>
  <c r="C11" i="20" s="1"/>
  <c r="M11" i="20" s="1"/>
  <c r="Q4" i="19"/>
  <c r="C4" i="19" s="1"/>
  <c r="M4" i="19" s="1"/>
  <c r="Q22" i="19"/>
  <c r="C22" i="19" s="1"/>
  <c r="M22" i="19" s="1"/>
  <c r="Q9" i="19"/>
  <c r="C9" i="19" s="1"/>
  <c r="M9" i="19" s="1"/>
  <c r="Q6" i="19"/>
  <c r="C6" i="19" s="1"/>
  <c r="M6" i="19" s="1"/>
  <c r="Q14" i="19"/>
  <c r="C14" i="19" s="1"/>
  <c r="M14" i="19" s="1"/>
  <c r="Q21" i="19"/>
  <c r="C21" i="19" s="1"/>
  <c r="M21" i="19" s="1"/>
  <c r="Q5" i="19"/>
  <c r="C5" i="19" s="1"/>
  <c r="M5" i="19" s="1"/>
  <c r="Q13" i="19"/>
  <c r="C13" i="19" s="1"/>
  <c r="M13" i="19" s="1"/>
  <c r="Q10" i="19"/>
  <c r="C10" i="19" s="1"/>
  <c r="M10" i="19" s="1"/>
  <c r="Q17" i="19"/>
  <c r="C17" i="19" s="1"/>
  <c r="M17" i="19" s="1"/>
  <c r="Q18" i="19"/>
  <c r="C18" i="19" s="1"/>
  <c r="M18" i="19" s="1"/>
  <c r="J5" i="5"/>
  <c r="Q4" i="28"/>
  <c r="C4" i="28" s="1"/>
  <c r="M4" i="28" s="1"/>
  <c r="Q21" i="28"/>
  <c r="C21" i="28" s="1"/>
  <c r="M21" i="28" s="1"/>
  <c r="Q18" i="28"/>
  <c r="C18" i="28" s="1"/>
  <c r="M18" i="28" s="1"/>
  <c r="Q5" i="28"/>
  <c r="C5" i="28" s="1"/>
  <c r="M5" i="28" s="1"/>
  <c r="Q17" i="28"/>
  <c r="C17" i="28" s="1"/>
  <c r="M17" i="28" s="1"/>
  <c r="Q22" i="28"/>
  <c r="C22" i="28" s="1"/>
  <c r="M22" i="28" s="1"/>
  <c r="Q9" i="28"/>
  <c r="C9" i="28" s="1"/>
  <c r="M9" i="28" s="1"/>
  <c r="Q6" i="28"/>
  <c r="C6" i="28" s="1"/>
  <c r="M6" i="28" s="1"/>
  <c r="Q13" i="28"/>
  <c r="C13" i="28" s="1"/>
  <c r="M13" i="28" s="1"/>
  <c r="Q10" i="28"/>
  <c r="C10" i="28" s="1"/>
  <c r="M10" i="28" s="1"/>
  <c r="Q14" i="28"/>
  <c r="C14" i="28" s="1"/>
  <c r="M14" i="28" s="1"/>
  <c r="Q8" i="23"/>
  <c r="C8" i="23" s="1"/>
  <c r="M8" i="23" s="1"/>
  <c r="Q8" i="19"/>
  <c r="C8" i="19" s="1"/>
  <c r="M8" i="19" s="1"/>
  <c r="Q11" i="22"/>
  <c r="C11" i="22" s="1"/>
  <c r="M11" i="22" s="1"/>
  <c r="Q23" i="19"/>
  <c r="C23" i="19" s="1"/>
  <c r="M23" i="19" s="1"/>
  <c r="J15" i="5"/>
  <c r="Q7" i="22"/>
  <c r="C7" i="22" s="1"/>
  <c r="M7" i="22" s="1"/>
  <c r="Q7" i="18"/>
  <c r="C7" i="18" s="1"/>
  <c r="M7" i="18" s="1"/>
  <c r="J20" i="5"/>
  <c r="Q12" i="23"/>
  <c r="C12" i="23" s="1"/>
  <c r="M12" i="23" s="1"/>
  <c r="Q16" i="18"/>
  <c r="C16" i="18" s="1"/>
  <c r="M16" i="18" s="1"/>
  <c r="N14" i="4"/>
  <c r="J13" i="5"/>
  <c r="Q4" i="26"/>
  <c r="C4" i="26" s="1"/>
  <c r="M4" i="26" s="1"/>
  <c r="Q13" i="26"/>
  <c r="C13" i="26" s="1"/>
  <c r="M13" i="26" s="1"/>
  <c r="Q10" i="26"/>
  <c r="C10" i="26" s="1"/>
  <c r="M10" i="26" s="1"/>
  <c r="Q18" i="26"/>
  <c r="C18" i="26" s="1"/>
  <c r="M18" i="26" s="1"/>
  <c r="Q17" i="26"/>
  <c r="C17" i="26" s="1"/>
  <c r="M17" i="26" s="1"/>
  <c r="Q14" i="26"/>
  <c r="C14" i="26" s="1"/>
  <c r="M14" i="26" s="1"/>
  <c r="Q5" i="26"/>
  <c r="C5" i="26" s="1"/>
  <c r="M5" i="26" s="1"/>
  <c r="Q21" i="26"/>
  <c r="C21" i="26" s="1"/>
  <c r="M21" i="26" s="1"/>
  <c r="Q22" i="26"/>
  <c r="C22" i="26" s="1"/>
  <c r="M22" i="26" s="1"/>
  <c r="Q9" i="26"/>
  <c r="C9" i="26" s="1"/>
  <c r="M9" i="26" s="1"/>
  <c r="Q6" i="26"/>
  <c r="C6" i="26" s="1"/>
  <c r="M6" i="26" s="1"/>
  <c r="Q16" i="26"/>
  <c r="C16" i="26" s="1"/>
  <c r="M16" i="26" s="1"/>
  <c r="Q4" i="27"/>
  <c r="C4" i="27" s="1"/>
  <c r="M4" i="27" s="1"/>
  <c r="Q22" i="27"/>
  <c r="C22" i="27" s="1"/>
  <c r="M22" i="27" s="1"/>
  <c r="Q9" i="27"/>
  <c r="C9" i="27" s="1"/>
  <c r="M9" i="27" s="1"/>
  <c r="Q6" i="27"/>
  <c r="C6" i="27" s="1"/>
  <c r="M6" i="27" s="1"/>
  <c r="Q13" i="27"/>
  <c r="C13" i="27" s="1"/>
  <c r="M13" i="27" s="1"/>
  <c r="Q10" i="27"/>
  <c r="C10" i="27" s="1"/>
  <c r="M10" i="27" s="1"/>
  <c r="Q17" i="27"/>
  <c r="C17" i="27" s="1"/>
  <c r="M17" i="27" s="1"/>
  <c r="Q14" i="27"/>
  <c r="C14" i="27" s="1"/>
  <c r="M14" i="27" s="1"/>
  <c r="Q21" i="27"/>
  <c r="C21" i="27" s="1"/>
  <c r="M21" i="27" s="1"/>
  <c r="Q18" i="27"/>
  <c r="C18" i="27" s="1"/>
  <c r="M18" i="27" s="1"/>
  <c r="Q5" i="27"/>
  <c r="C5" i="27" s="1"/>
  <c r="M5" i="27" s="1"/>
  <c r="Q15" i="23"/>
  <c r="C15" i="23" s="1"/>
  <c r="M15" i="23" s="1"/>
  <c r="Q8" i="22"/>
  <c r="C8" i="22" s="1"/>
  <c r="M8" i="22" s="1"/>
  <c r="Q20" i="19"/>
  <c r="C20" i="19" s="1"/>
  <c r="M20" i="19" s="1"/>
  <c r="Q19" i="18"/>
  <c r="C19" i="18" s="1"/>
  <c r="M19" i="18" s="1"/>
  <c r="J11" i="5"/>
  <c r="N17" i="4"/>
  <c r="Q23" i="26"/>
  <c r="C23" i="26" s="1"/>
  <c r="M23" i="26" s="1"/>
  <c r="Q12" i="18"/>
  <c r="C12" i="18" s="1"/>
  <c r="M12" i="18" s="1"/>
  <c r="Q19" i="28"/>
  <c r="C19" i="28" s="1"/>
  <c r="M19" i="28" s="1"/>
  <c r="Q12" i="19"/>
  <c r="C12" i="19" s="1"/>
  <c r="M12" i="19" s="1"/>
  <c r="N22" i="4"/>
  <c r="Q20" i="28"/>
  <c r="C20" i="28" s="1"/>
  <c r="M20" i="28" s="1"/>
  <c r="Q7" i="26"/>
  <c r="C7" i="26" s="1"/>
  <c r="M7" i="26" s="1"/>
  <c r="N20" i="4"/>
  <c r="J23" i="5"/>
  <c r="N23" i="4"/>
  <c r="N15" i="4"/>
  <c r="B26" i="13" l="1"/>
  <c r="D13" i="3"/>
  <c r="B27" i="13"/>
  <c r="D5" i="3"/>
  <c r="Q15" i="13"/>
  <c r="Q8" i="13"/>
  <c r="Q6" i="13"/>
  <c r="Q21" i="13"/>
  <c r="Q5" i="13"/>
  <c r="Q10" i="13"/>
  <c r="Q14" i="13"/>
  <c r="Q20" i="13"/>
  <c r="Q16" i="13"/>
  <c r="Q13" i="13"/>
  <c r="Q12" i="13"/>
  <c r="Q7" i="13"/>
  <c r="Q4" i="13"/>
  <c r="Q9" i="13"/>
  <c r="Q18" i="13"/>
  <c r="Q22" i="13"/>
  <c r="Q17" i="13"/>
  <c r="Q11" i="13"/>
  <c r="P23" i="13"/>
  <c r="Q19" i="13"/>
</calcChain>
</file>

<file path=xl/sharedStrings.xml><?xml version="1.0" encoding="utf-8"?>
<sst xmlns="http://schemas.openxmlformats.org/spreadsheetml/2006/main" count="5344" uniqueCount="371">
  <si>
    <t>Statistiche Globali Formula 1</t>
  </si>
  <si>
    <t>Anno</t>
  </si>
  <si>
    <t>Campione Piloti</t>
  </si>
  <si>
    <t>Team Campione</t>
  </si>
  <si>
    <t>Punti Campione</t>
  </si>
  <si>
    <t>Formula 1 - Stagione 1950</t>
  </si>
  <si>
    <t>Pilota</t>
  </si>
  <si>
    <t>Team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</si>
  <si>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</si>
  <si>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</si>
  <si>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</si>
  <si>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</si>
  <si>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</si>
  <si>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</si>
  <si>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</si>
  <si>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</si>
  <si>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</si>
  <si>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</si>
  <si>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Totale</t>
  </si>
  <si>
    <t>Overall</t>
  </si>
  <si>
    <t>Random</t>
  </si>
  <si>
    <t>Performance</t>
  </si>
  <si>
    <t>Posizione Finale</t>
  </si>
  <si>
    <t>COME FUNZIONA</t>
  </si>
  <si>
    <t>Pilota 1</t>
  </si>
  <si>
    <t>Team 1</t>
  </si>
  <si>
    <t>1. Modifica l'Overall dei piloti</t>
  </si>
  <si>
    <t>Pilota 2</t>
  </si>
  <si>
    <t>Team 2</t>
  </si>
  <si>
    <t>2. Premi F9 in Excel per rigenerare la casualità</t>
  </si>
  <si>
    <t>Pilota 3</t>
  </si>
  <si>
    <t>Team 3</t>
  </si>
  <si>
    <t>3. Il valore Random simula incidenti, meteo, fortuna ecc.</t>
  </si>
  <si>
    <t>Pilota 4</t>
  </si>
  <si>
    <t>Team 4</t>
  </si>
  <si>
    <t>4. Performance = Overall + Casualità</t>
  </si>
  <si>
    <t>Pilota 5</t>
  </si>
  <si>
    <t>Team 5</t>
  </si>
  <si>
    <t>5. Posizione Finale aggiornata automaticamente</t>
  </si>
  <si>
    <t>Pilota 6</t>
  </si>
  <si>
    <t>Pilota 7</t>
  </si>
  <si>
    <t>Pilota 8</t>
  </si>
  <si>
    <t>Sistema Punti</t>
  </si>
  <si>
    <t>Pilota 9</t>
  </si>
  <si>
    <t>Pilota 10</t>
  </si>
  <si>
    <t>Pilota 11</t>
  </si>
  <si>
    <t>Pilota 12</t>
  </si>
  <si>
    <t>Pilota 13</t>
  </si>
  <si>
    <t>Pilota 14</t>
  </si>
  <si>
    <t>Pilota 15</t>
  </si>
  <si>
    <t>Pilota 16</t>
  </si>
  <si>
    <t>Pilota 17</t>
  </si>
  <si>
    <t>Pilota 18</t>
  </si>
  <si>
    <t>Pilota 19</t>
  </si>
  <si>
    <t>Pilota 20</t>
  </si>
  <si>
    <t>Formula 1 - Stagione 1951</t>
  </si>
  <si>
    <t>Formula 1 - Stagione 1952</t>
  </si>
  <si>
    <t>Formula 1 - Stagione 1953</t>
  </si>
  <si>
    <t>Formula 1 - Stagione 1954</t>
  </si>
  <si>
    <t>Formula 1 - Stagione 1955</t>
  </si>
  <si>
    <t>Formula 1 - Stagione 1956</t>
  </si>
  <si>
    <t>Formula 1 - Stagione 1957</t>
  </si>
  <si>
    <t>Formula 1 - Stagione 1958</t>
  </si>
  <si>
    <t>Formula 1 - Stagione 1959</t>
  </si>
  <si>
    <t>Formula 1 - Stagione 1960</t>
  </si>
  <si>
    <t>Formula 1 - Stagione 1961</t>
  </si>
  <si>
    <t>Formula 1 - Stagione 1962</t>
  </si>
  <si>
    <t>Formula 1 - Stagione 1963</t>
  </si>
  <si>
    <t>Formula 1 - Stagione 1964</t>
  </si>
  <si>
    <t>Formula 1 - Stagione 1965</t>
  </si>
  <si>
    <t>Formula 1 - Stagione 1966</t>
  </si>
  <si>
    <t>Formula 1 - Stagione 1967</t>
  </si>
  <si>
    <t>Formula 1 - Stagione 1968</t>
  </si>
  <si>
    <t>Formula 1 - Stagione 1969</t>
  </si>
  <si>
    <t>Formula 1 - Stagione 1970</t>
  </si>
  <si>
    <t>Formula 1 - Stagione 1971</t>
  </si>
  <si>
    <t>Formula 1 - Stagione 1972</t>
  </si>
  <si>
    <t>Formula 1 - Stagione 1973</t>
  </si>
  <si>
    <t>Formula 1 - Stagione 1974</t>
  </si>
  <si>
    <t>Formula 1 - Stagione 1975</t>
  </si>
  <si>
    <t>Formula 1 - Stagione 1976</t>
  </si>
  <si>
    <t>Formula 1 - Stagione 1977</t>
  </si>
  <si>
    <t>Formula 1 - Stagione 1978</t>
  </si>
  <si>
    <t>Formula 1 - Stagione 1979</t>
  </si>
  <si>
    <t>Formula 1 - Stagione 1980</t>
  </si>
  <si>
    <t>Formula 1 - Stagione 1981</t>
  </si>
  <si>
    <t>Formula 1 - Stagione 1982</t>
  </si>
  <si>
    <t>Formula 1 - Stagione 1983</t>
  </si>
  <si>
    <t>Formula 1 - Stagione 1984</t>
  </si>
  <si>
    <t>Formula 1 - Stagione 1985</t>
  </si>
  <si>
    <t>Formula 1 - Stagione 1986</t>
  </si>
  <si>
    <t>Formula 1 - Stagione 1987</t>
  </si>
  <si>
    <t>Formula 1 - Stagione 1988</t>
  </si>
  <si>
    <t>Formula 1 - Stagione 1989</t>
  </si>
  <si>
    <t>Formula 1 - Stagione 1990</t>
  </si>
  <si>
    <t>Formula 1 - Stagione 1991</t>
  </si>
  <si>
    <t>Formula 1 - Stagione 1992</t>
  </si>
  <si>
    <t>Formula 1 - Stagione 1993</t>
  </si>
  <si>
    <t>Formula 1 - Stagione 1994</t>
  </si>
  <si>
    <t>Formula 1 - Stagione 1995</t>
  </si>
  <si>
    <t>Formula 1 - Stagione 1996</t>
  </si>
  <si>
    <t>Formula 1 - Stagione 1997</t>
  </si>
  <si>
    <t>Formula 1 - Stagione 1998</t>
  </si>
  <si>
    <t>Formula 1 - Stagione 1999</t>
  </si>
  <si>
    <t>Formula 1 - Stagione 2000</t>
  </si>
  <si>
    <t>Formula 1 - Stagione 2001</t>
  </si>
  <si>
    <t>Formula 1 - Stagione 2002</t>
  </si>
  <si>
    <t>Formula 1 - Stagione 2003</t>
  </si>
  <si>
    <t>Formula 1 - Stagione 2004</t>
  </si>
  <si>
    <t>Formula 1 - Stagione 2005</t>
  </si>
  <si>
    <t>Formula 1 - Stagione 2006</t>
  </si>
  <si>
    <t>Formula 1 - Stagione 2007</t>
  </si>
  <si>
    <t>Formula 1 - Stagione 2008</t>
  </si>
  <si>
    <t>Formula 1 - Stagione 2009</t>
  </si>
  <si>
    <t>Formula 1 - Stagione 2010</t>
  </si>
  <si>
    <t>Formula 1 - Stagione 2011</t>
  </si>
  <si>
    <t>Formula 1 - Stagione 2012</t>
  </si>
  <si>
    <t>Formula 1 - Stagione 2013</t>
  </si>
  <si>
    <t>Formula 1 - Stagione 2014</t>
  </si>
  <si>
    <t>Formula 1 - Stagione 2015</t>
  </si>
  <si>
    <t>Formula 1 - Stagione 2016</t>
  </si>
  <si>
    <t>Formula 1 - Stagione 2017</t>
  </si>
  <si>
    <t>Formula 1 - Stagione 2018</t>
  </si>
  <si>
    <t>Formula 1 - Stagione 2019</t>
  </si>
  <si>
    <t>Formula 1 - Stagione 2020</t>
  </si>
  <si>
    <t>Formula 1 - Stagione 2021</t>
  </si>
  <si>
    <t>Formula 1 - Stagione 2022</t>
  </si>
  <si>
    <t>Formula 1 - Stagione 2023</t>
  </si>
  <si>
    <t>Formula 1 - Stagione 2024</t>
  </si>
  <si>
    <t>Formula 1 - Stagione 2025</t>
  </si>
  <si>
    <t>G. Farina</t>
  </si>
  <si>
    <t>J. Fangio</t>
  </si>
  <si>
    <t>L. Fagioli</t>
  </si>
  <si>
    <t>L. Rosier</t>
  </si>
  <si>
    <t>A. Ascari</t>
  </si>
  <si>
    <t>J. Parsons</t>
  </si>
  <si>
    <t>P. Bira</t>
  </si>
  <si>
    <t>P. Whitehead</t>
  </si>
  <si>
    <t>L. Chiron</t>
  </si>
  <si>
    <t>Gran Bretagna</t>
  </si>
  <si>
    <t>Monaco</t>
  </si>
  <si>
    <t>Indianapolis</t>
  </si>
  <si>
    <t>Svizzera</t>
  </si>
  <si>
    <t>Belgio</t>
  </si>
  <si>
    <t>Francia</t>
  </si>
  <si>
    <t>Italia</t>
  </si>
  <si>
    <t>R. Parnell</t>
  </si>
  <si>
    <t>Y. Giraud-Cabantous</t>
  </si>
  <si>
    <t>R. Sommer</t>
  </si>
  <si>
    <t>R. Manzon</t>
  </si>
  <si>
    <t>P. Etancelin</t>
  </si>
  <si>
    <t>F. Bonetto</t>
  </si>
  <si>
    <t>E. Chaboud</t>
  </si>
  <si>
    <t>T. De Graffeniried</t>
  </si>
  <si>
    <t>B. Gerard</t>
  </si>
  <si>
    <t>L. Villoresi</t>
  </si>
  <si>
    <t>L. Wallard</t>
  </si>
  <si>
    <t>-</t>
  </si>
  <si>
    <t>Colonna1</t>
  </si>
  <si>
    <t>Gran Bregagna</t>
  </si>
  <si>
    <t>Germania</t>
  </si>
  <si>
    <t>Spagna</t>
  </si>
  <si>
    <t>J. Gonzalez</t>
  </si>
  <si>
    <t>P.Taruffi</t>
  </si>
  <si>
    <t>M. Nazaruk</t>
  </si>
  <si>
    <t>C. Sanesi</t>
  </si>
  <si>
    <t>A. Linden</t>
  </si>
  <si>
    <t>M. Ayulo</t>
  </si>
  <si>
    <t>J. McGrath</t>
  </si>
  <si>
    <t>E. de Graffenried</t>
  </si>
  <si>
    <t>B. Ball</t>
  </si>
  <si>
    <t>Olanda</t>
  </si>
  <si>
    <t>P. Taruffi</t>
  </si>
  <si>
    <t>R. Fischer</t>
  </si>
  <si>
    <t>M. Hawthorn</t>
  </si>
  <si>
    <t>T. Ruttman</t>
  </si>
  <si>
    <t>J. Rathmann</t>
  </si>
  <si>
    <t>J. Behera</t>
  </si>
  <si>
    <t>S. Hanks</t>
  </si>
  <si>
    <t>K. Wharton</t>
  </si>
  <si>
    <t>D. Poore</t>
  </si>
  <si>
    <t>D. Carter</t>
  </si>
  <si>
    <t>A. Brown</t>
  </si>
  <si>
    <t>M. Trintignant</t>
  </si>
  <si>
    <t>A. Cross</t>
  </si>
  <si>
    <t>P. Frere</t>
  </si>
  <si>
    <t>E. Thompson</t>
  </si>
  <si>
    <t>Colonna2</t>
  </si>
  <si>
    <t>DNF</t>
  </si>
  <si>
    <t>B. Vukovic</t>
  </si>
  <si>
    <t>O. Marimon</t>
  </si>
  <si>
    <t>O. Galvez</t>
  </si>
  <si>
    <t>H. Lang</t>
  </si>
  <si>
    <t>F. Agabashian</t>
  </si>
  <si>
    <t>P. Russo</t>
  </si>
  <si>
    <t>S. Moss</t>
  </si>
  <si>
    <t>Argentina</t>
  </si>
  <si>
    <t>Paesi Bassi</t>
  </si>
  <si>
    <t>K. Kling</t>
  </si>
  <si>
    <t>H. Herrmann</t>
  </si>
  <si>
    <t>J. Bryan</t>
  </si>
  <si>
    <t>L. Musso</t>
  </si>
  <si>
    <t>R. Mieres</t>
  </si>
  <si>
    <t>S. Mantovani</t>
  </si>
  <si>
    <t>U. Maglioli</t>
  </si>
  <si>
    <t>A. Pilette</t>
  </si>
  <si>
    <t>E. Bayol</t>
  </si>
  <si>
    <t>J. Behra</t>
  </si>
  <si>
    <t>E. Castellotti</t>
  </si>
  <si>
    <t>M. Trintigant</t>
  </si>
  <si>
    <t>B. Sweikert</t>
  </si>
  <si>
    <t>K. Davies</t>
  </si>
  <si>
    <t>T. Bettenhausen</t>
  </si>
  <si>
    <t>J. Thomson</t>
  </si>
  <si>
    <t>C. Perdisa</t>
  </si>
  <si>
    <t>C. Menditeguy</t>
  </si>
  <si>
    <t>U. Magioli</t>
  </si>
  <si>
    <t>W. Faulkner</t>
  </si>
  <si>
    <t>B. Homeier</t>
  </si>
  <si>
    <t>P. Collins</t>
  </si>
  <si>
    <t>P. Flaherty</t>
  </si>
  <si>
    <t>F. Godia-Sales</t>
  </si>
  <si>
    <t>H. Fairman</t>
  </si>
  <si>
    <t>D. Freeland</t>
  </si>
  <si>
    <t>R. Flockhart</t>
  </si>
  <si>
    <t>H. Schell</t>
  </si>
  <si>
    <t>A. de Portago</t>
  </si>
  <si>
    <t>H. da Silva Ramos</t>
  </si>
  <si>
    <t>H. Gould</t>
  </si>
  <si>
    <t>O. Gendebien</t>
  </si>
  <si>
    <t>D. Rathmann</t>
  </si>
  <si>
    <t>G. Gerini</t>
  </si>
  <si>
    <t>C. Landi</t>
  </si>
  <si>
    <t>Nazionalità</t>
  </si>
  <si>
    <t>N° Mondiali Vinti</t>
  </si>
  <si>
    <t>Ita</t>
  </si>
  <si>
    <t>1 (1950)</t>
  </si>
  <si>
    <t>2 (1952; 1953)</t>
  </si>
  <si>
    <t>Arg</t>
  </si>
  <si>
    <t>Pescara</t>
  </si>
  <si>
    <t>T. Brooks</t>
  </si>
  <si>
    <t>M. Gregory</t>
  </si>
  <si>
    <t>S. Lewis-Evans</t>
  </si>
  <si>
    <t>W. Von Trips</t>
  </si>
  <si>
    <t>R. Salvadori</t>
  </si>
  <si>
    <t>G. Scarlatti</t>
  </si>
  <si>
    <t>J. Brabham</t>
  </si>
  <si>
    <t>J. Bonnier</t>
  </si>
  <si>
    <t>P. Godia</t>
  </si>
  <si>
    <t>5 (1951; 1954; 1955; 1956; 1957)</t>
  </si>
  <si>
    <t>Portogallo</t>
  </si>
  <si>
    <t>Marocco</t>
  </si>
  <si>
    <t>P. Hill</t>
  </si>
  <si>
    <t>V. Trips</t>
  </si>
  <si>
    <t>G. Amick</t>
  </si>
  <si>
    <t>J. Boyd</t>
  </si>
  <si>
    <t>C. Allison</t>
  </si>
  <si>
    <t>B. Mclaren</t>
  </si>
  <si>
    <t>G. Hill</t>
  </si>
  <si>
    <t>.</t>
  </si>
  <si>
    <t>Vanwall</t>
  </si>
  <si>
    <t>Ferrari</t>
  </si>
  <si>
    <t>BRM</t>
  </si>
  <si>
    <t>Maserati</t>
  </si>
  <si>
    <t>Lotus-Climax</t>
  </si>
  <si>
    <t>Porche</t>
  </si>
  <si>
    <t>Cooper - Climax</t>
  </si>
  <si>
    <t>Lotus</t>
  </si>
  <si>
    <t>Eng</t>
  </si>
  <si>
    <t>1 (1958)</t>
  </si>
  <si>
    <t>Stati Uniti</t>
  </si>
  <si>
    <t>D. Gurney</t>
  </si>
  <si>
    <t>R. Ward</t>
  </si>
  <si>
    <t>I. Ireland</t>
  </si>
  <si>
    <t>P. Goldsmith</t>
  </si>
  <si>
    <t>Lotus - Climax</t>
  </si>
  <si>
    <t>Velocità</t>
  </si>
  <si>
    <t>Affidabilità</t>
  </si>
  <si>
    <t>Talento</t>
  </si>
  <si>
    <t>USA</t>
  </si>
  <si>
    <t>R. Ginther</t>
  </si>
  <si>
    <t>J. Clark</t>
  </si>
  <si>
    <t>J. Surtees</t>
  </si>
  <si>
    <t>W. Mairesse</t>
  </si>
  <si>
    <t>H. Taylor</t>
  </si>
  <si>
    <t>Cooper - Maserati</t>
  </si>
  <si>
    <t>Cooper - Castellotti</t>
  </si>
  <si>
    <t>2 (1959; 1960)</t>
  </si>
  <si>
    <t>Scuderia</t>
  </si>
  <si>
    <t>ENG</t>
  </si>
  <si>
    <t xml:space="preserve">Cooper Climax </t>
  </si>
  <si>
    <t>2 (1959, 1960)</t>
  </si>
  <si>
    <t>Usa</t>
  </si>
  <si>
    <t>G. Baghetti</t>
  </si>
  <si>
    <t>J. Lewis</t>
  </si>
  <si>
    <t>C. Godin de Beaufort</t>
  </si>
  <si>
    <t>L. Bandini</t>
  </si>
  <si>
    <t>Lotus Climax</t>
  </si>
  <si>
    <t>Cooper Climax</t>
  </si>
  <si>
    <t>BRM Climax</t>
  </si>
  <si>
    <t>Cooper Maserati</t>
  </si>
  <si>
    <t>Sudafrica</t>
  </si>
  <si>
    <t>Brasile</t>
  </si>
  <si>
    <t>Su Ovest</t>
  </si>
  <si>
    <t>San Marino</t>
  </si>
  <si>
    <t>Detroit</t>
  </si>
  <si>
    <t>Canada</t>
  </si>
  <si>
    <t>Austria</t>
  </si>
  <si>
    <t>Las Vegas</t>
  </si>
  <si>
    <t>K. Rosberg</t>
  </si>
  <si>
    <t>D. Pironi</t>
  </si>
  <si>
    <t>J. Watson</t>
  </si>
  <si>
    <t>A. Prost</t>
  </si>
  <si>
    <t>N. Lauda</t>
  </si>
  <si>
    <t>R. Arnoux</t>
  </si>
  <si>
    <t>P. Tambay</t>
  </si>
  <si>
    <t>M. Alboreto</t>
  </si>
  <si>
    <t>E. De Angelis</t>
  </si>
  <si>
    <t>R. Patrese</t>
  </si>
  <si>
    <t>N. Piquet</t>
  </si>
  <si>
    <t>E. Cheever</t>
  </si>
  <si>
    <t>D. Daly</t>
  </si>
  <si>
    <t>N. Mansell</t>
  </si>
  <si>
    <t>C. Reutemann</t>
  </si>
  <si>
    <t>G. Villeneuve</t>
  </si>
  <si>
    <t>A. De Cesaris</t>
  </si>
  <si>
    <t>J. Laffite</t>
  </si>
  <si>
    <t>M. Andretti</t>
  </si>
  <si>
    <t>J. Jarier</t>
  </si>
  <si>
    <t>M. Surer</t>
  </si>
  <si>
    <t>B. Giacomelli</t>
  </si>
  <si>
    <t>E. Salazar</t>
  </si>
  <si>
    <t>M. Winkelhock</t>
  </si>
  <si>
    <t>M. Baldi</t>
  </si>
  <si>
    <t>C. Serra</t>
  </si>
  <si>
    <t>Williams</t>
  </si>
  <si>
    <t>Mclaren</t>
  </si>
  <si>
    <t>Renault</t>
  </si>
  <si>
    <t>Tyrrell</t>
  </si>
  <si>
    <t>Brabham</t>
  </si>
  <si>
    <t>Ligier</t>
  </si>
  <si>
    <t>Alfa Romeo</t>
  </si>
  <si>
    <t>Osella</t>
  </si>
  <si>
    <t>Arrows</t>
  </si>
  <si>
    <t>ATS</t>
  </si>
  <si>
    <t>Fittipaldi</t>
  </si>
  <si>
    <t>Sistema punti</t>
  </si>
  <si>
    <t>1°</t>
  </si>
  <si>
    <t>2°</t>
  </si>
  <si>
    <t>3°</t>
  </si>
  <si>
    <t>4°</t>
  </si>
  <si>
    <t>5°</t>
  </si>
  <si>
    <t>6°</t>
  </si>
  <si>
    <t>Punti</t>
  </si>
  <si>
    <t>1 (1961)</t>
  </si>
  <si>
    <t>ITA</t>
  </si>
  <si>
    <t>1 (1962)</t>
  </si>
  <si>
    <t>T. Maggs</t>
  </si>
  <si>
    <t>T. Taylor</t>
  </si>
  <si>
    <t>R. Rodriguez</t>
  </si>
  <si>
    <t>C. Godin de beaufort</t>
  </si>
  <si>
    <t>N. Lederle</t>
  </si>
  <si>
    <t>Lola Climax</t>
  </si>
  <si>
    <t>Brabham Climax</t>
  </si>
  <si>
    <t>Lotus BRM</t>
  </si>
  <si>
    <t>Messico</t>
  </si>
  <si>
    <t>G. Mitter</t>
  </si>
  <si>
    <t>J. Hall</t>
  </si>
  <si>
    <t>J. Siffert</t>
  </si>
  <si>
    <t>L. Scarfiotti</t>
  </si>
  <si>
    <t>BRP BRM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</si>
</sst>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9" tint="-0.249977111117893"/>
      <name val="Arial Black"/>
      <family val="2"/>
    </font>
    <font>
      <sz val="11"/>
      <color theme="1"/>
      <name val="Formula1 Display Bold"/>
    </font>
    <font>
      <b/>
      <sz val="11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1"/>
      <color rgb="FFD656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003366"/>
        <bgColor rgb="FF003366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/>
    <xf numFmtId="0" fontId="0" fillId="5" borderId="1" xfId="0" applyFill="1" applyBorder="1"/>
    <xf numFmtId="9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6" fillId="6" borderId="2" xfId="0" applyFont="1" applyFill="1" applyBorder="1"/>
    <xf numFmtId="0" fontId="5" fillId="2" borderId="3" xfId="0" applyFont="1" applyFill="1" applyBorder="1"/>
    <xf numFmtId="0" fontId="5" fillId="3" borderId="3" xfId="0" applyFont="1" applyFill="1" applyBorder="1"/>
    <xf numFmtId="0" fontId="4" fillId="4" borderId="4" xfId="0" applyFont="1" applyFill="1" applyBorder="1"/>
    <xf numFmtId="0" fontId="7" fillId="4" borderId="2" xfId="0" applyFont="1" applyFill="1" applyBorder="1" applyAlignment="1">
      <alignment horizontal="center"/>
    </xf>
    <xf numFmtId="0" fontId="0" fillId="4" borderId="2" xfId="0" applyFill="1" applyBorder="1"/>
    <xf numFmtId="9" fontId="0" fillId="4" borderId="2" xfId="0" applyNumberFormat="1" applyFill="1" applyBorder="1"/>
    <xf numFmtId="0" fontId="4" fillId="5" borderId="5" xfId="0" applyFont="1" applyFill="1" applyBorder="1"/>
    <xf numFmtId="0" fontId="7" fillId="5" borderId="1" xfId="0" applyFont="1" applyFill="1" applyBorder="1" applyAlignment="1">
      <alignment horizontal="center"/>
    </xf>
    <xf numFmtId="9" fontId="0" fillId="5" borderId="1" xfId="0" applyNumberFormat="1" applyFill="1" applyBorder="1"/>
    <xf numFmtId="0" fontId="4" fillId="4" borderId="5" xfId="0" applyFont="1" applyFill="1" applyBorder="1"/>
    <xf numFmtId="0" fontId="7" fillId="4" borderId="1" xfId="0" applyFont="1" applyFill="1" applyBorder="1" applyAlignment="1">
      <alignment horizontal="center"/>
    </xf>
    <xf numFmtId="0" fontId="0" fillId="4" borderId="1" xfId="0" applyFill="1" applyBorder="1"/>
    <xf numFmtId="9" fontId="0" fillId="4" borderId="1" xfId="0" applyNumberFormat="1" applyFill="1" applyBorder="1"/>
    <xf numFmtId="0" fontId="8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6" borderId="4" xfId="0" applyFont="1" applyFill="1" applyBorder="1"/>
    <xf numFmtId="0" fontId="10" fillId="6" borderId="2" xfId="0" applyFont="1" applyFill="1" applyBorder="1" applyAlignment="1">
      <alignment horizontal="center"/>
    </xf>
    <xf numFmtId="9" fontId="6" fillId="6" borderId="2" xfId="0" applyNumberFormat="1" applyFont="1" applyFill="1" applyBorder="1"/>
    <xf numFmtId="0" fontId="8" fillId="4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4" borderId="1" xfId="0" quotePrefix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6" borderId="3" xfId="0" applyFont="1" applyFill="1" applyBorder="1"/>
    <xf numFmtId="0" fontId="4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0" xfId="0" applyFont="1" applyFill="1"/>
    <xf numFmtId="0" fontId="13" fillId="4" borderId="2" xfId="0" applyFont="1" applyFill="1" applyBorder="1"/>
    <xf numFmtId="0" fontId="5" fillId="2" borderId="8" xfId="0" applyFont="1" applyFill="1" applyBorder="1"/>
    <xf numFmtId="0" fontId="4" fillId="4" borderId="7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/>
    <xf numFmtId="0" fontId="4" fillId="5" borderId="9" xfId="0" applyFont="1" applyFill="1" applyBorder="1"/>
    <xf numFmtId="0" fontId="7" fillId="4" borderId="10" xfId="0" applyFont="1" applyFill="1" applyBorder="1" applyAlignment="1">
      <alignment horizontal="right"/>
    </xf>
    <xf numFmtId="0" fontId="4" fillId="5" borderId="1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7" fillId="4" borderId="13" xfId="0" applyFont="1" applyFill="1" applyBorder="1" applyAlignment="1">
      <alignment horizontal="right"/>
    </xf>
    <xf numFmtId="0" fontId="0" fillId="0" borderId="3" xfId="0" applyBorder="1"/>
    <xf numFmtId="0" fontId="13" fillId="0" borderId="0" xfId="0" applyFont="1"/>
    <xf numFmtId="0" fontId="5" fillId="2" borderId="0" xfId="0" applyFont="1" applyFill="1" applyAlignment="1">
      <alignment horizontal="center"/>
    </xf>
    <xf numFmtId="0" fontId="4" fillId="5" borderId="14" xfId="0" applyFont="1" applyFill="1" applyBorder="1"/>
    <xf numFmtId="0" fontId="5" fillId="2" borderId="3" xfId="0" applyFont="1" applyFill="1" applyBorder="1" applyAlignment="1">
      <alignment horizontal="center"/>
    </xf>
    <xf numFmtId="0" fontId="14" fillId="0" borderId="0" xfId="0" applyFont="1"/>
    <xf numFmtId="0" fontId="0" fillId="0" borderId="14" xfId="0" applyBorder="1"/>
    <xf numFmtId="0" fontId="7" fillId="4" borderId="0" xfId="0" applyFont="1" applyFill="1" applyAlignment="1">
      <alignment horizontal="right"/>
    </xf>
    <xf numFmtId="0" fontId="0" fillId="0" borderId="1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Border="1"/>
    <xf numFmtId="0" fontId="4" fillId="5" borderId="0" xfId="0" applyFont="1" applyFill="1" applyBorder="1"/>
    <xf numFmtId="0" fontId="9" fillId="7" borderId="0" xfId="0" applyFont="1" applyFill="1" applyAlignment="1">
      <alignment horizontal="center"/>
    </xf>
  </cellXfs>
  <cellStyles count="1">
    <cellStyle name="Normale" xfId="0" builtinId="0"/>
  </cellStyles>
  <dxfs count="107"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D656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 val="0"/>
        <i val="0"/>
        <color rgb="FFD656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D656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 val="0"/>
        <i val="0"/>
        <color rgb="FFD656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D656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name val="Arial Black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name val="Arial Black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9" defaultPivotStyle="PivotStyleLight16"/>
  <colors>
    <mruColors>
      <color rgb="FFD65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ivers_1950" displayName="Drivers_1950" ref="A3:I23">
  <autoFilter ref="A3:I23" xr:uid="{00000000-0009-0000-0100-000001000000}"/>
  <sortState xmlns:xlrd2="http://schemas.microsoft.com/office/spreadsheetml/2017/richdata2" ref="A4:I23">
    <sortCondition descending="1" ref="I3:I23"/>
  </sortState>
  <tableColumns count="9">
    <tableColumn id="1" xr3:uid="{00000000-0010-0000-0000-000001000000}" name="Pilota" dataDxfId="106"/>
    <tableColumn id="3" xr3:uid="{00000000-0010-0000-0000-000003000000}" name="Gran Bretagna" dataDxfId="105"/>
    <tableColumn id="4" xr3:uid="{00000000-0010-0000-0000-000004000000}" name="Monaco" dataDxfId="104"/>
    <tableColumn id="5" xr3:uid="{00000000-0010-0000-0000-000005000000}" name="Indianapolis" dataDxfId="103"/>
    <tableColumn id="6" xr3:uid="{00000000-0010-0000-0000-000006000000}" name="Svizzera" dataDxfId="102"/>
    <tableColumn id="7" xr3:uid="{00000000-0010-0000-0000-000007000000}" name="Belgio" dataDxfId="101"/>
    <tableColumn id="8" xr3:uid="{00000000-0010-0000-0000-000008000000}" name="Francia" dataDxfId="100"/>
    <tableColumn id="9" xr3:uid="{00000000-0010-0000-0000-000009000000}" name="Italia" dataDxfId="99"/>
    <tableColumn id="13" xr3:uid="{00000000-0010-0000-0000-00000D000000}" name="Totale" dataDxfId="98">
      <calculatedColumnFormula>SUM(Drivers_1950[[#This Row],[Gran Bretagna]:[Italia]])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rivers_1964" displayName="Drivers_1964" ref="A3:M23">
  <autoFilter ref="A3:M23" xr:uid="{00000000-0009-0000-0100-00000F000000}"/>
  <tableColumns count="13">
    <tableColumn id="1" xr3:uid="{00000000-0010-0000-0E00-000001000000}" name="Pilota"/>
    <tableColumn id="2" xr3:uid="{00000000-0010-0000-0E00-000002000000}" name="Team"/>
    <tableColumn id="3" xr3:uid="{00000000-0010-0000-0E00-000003000000}" name="G1"/>
    <tableColumn id="4" xr3:uid="{00000000-0010-0000-0E00-000004000000}" name="G2"/>
    <tableColumn id="5" xr3:uid="{00000000-0010-0000-0E00-000005000000}" name="G3"/>
    <tableColumn id="6" xr3:uid="{00000000-0010-0000-0E00-000006000000}" name="G4"/>
    <tableColumn id="7" xr3:uid="{00000000-0010-0000-0E00-000007000000}" name="G5"/>
    <tableColumn id="8" xr3:uid="{00000000-0010-0000-0E00-000008000000}" name="G6"/>
    <tableColumn id="9" xr3:uid="{00000000-0010-0000-0E00-000009000000}" name="G7"/>
    <tableColumn id="10" xr3:uid="{00000000-0010-0000-0E00-00000A000000}" name="G8"/>
    <tableColumn id="11" xr3:uid="{00000000-0010-0000-0E00-00000B000000}" name="G9"/>
    <tableColumn id="12" xr3:uid="{00000000-0010-0000-0E00-00000C000000}" name="G10"/>
    <tableColumn id="13" xr3:uid="{00000000-0010-0000-0E00-00000D000000}" name="Total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rivers_1965" displayName="Drivers_1965" ref="A3:M23">
  <autoFilter ref="A3:M23" xr:uid="{00000000-0009-0000-0100-000010000000}"/>
  <tableColumns count="13">
    <tableColumn id="1" xr3:uid="{00000000-0010-0000-0F00-000001000000}" name="Pilota"/>
    <tableColumn id="2" xr3:uid="{00000000-0010-0000-0F00-000002000000}" name="Team"/>
    <tableColumn id="3" xr3:uid="{00000000-0010-0000-0F00-000003000000}" name="G1"/>
    <tableColumn id="4" xr3:uid="{00000000-0010-0000-0F00-000004000000}" name="G2"/>
    <tableColumn id="5" xr3:uid="{00000000-0010-0000-0F00-000005000000}" name="G3"/>
    <tableColumn id="6" xr3:uid="{00000000-0010-0000-0F00-000006000000}" name="G4"/>
    <tableColumn id="7" xr3:uid="{00000000-0010-0000-0F00-000007000000}" name="G5"/>
    <tableColumn id="8" xr3:uid="{00000000-0010-0000-0F00-000008000000}" name="G6"/>
    <tableColumn id="9" xr3:uid="{00000000-0010-0000-0F00-000009000000}" name="G7"/>
    <tableColumn id="10" xr3:uid="{00000000-0010-0000-0F00-00000A000000}" name="G8"/>
    <tableColumn id="11" xr3:uid="{00000000-0010-0000-0F00-00000B000000}" name="G9"/>
    <tableColumn id="12" xr3:uid="{00000000-0010-0000-0F00-00000C000000}" name="G10"/>
    <tableColumn id="13" xr3:uid="{00000000-0010-0000-0F00-00000D000000}" name="Total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rivers_1966" displayName="Drivers_1966" ref="A3:M23">
  <autoFilter ref="A3:M23" xr:uid="{00000000-0009-0000-0100-000011000000}"/>
  <tableColumns count="13">
    <tableColumn id="1" xr3:uid="{00000000-0010-0000-1000-000001000000}" name="Pilota"/>
    <tableColumn id="2" xr3:uid="{00000000-0010-0000-1000-000002000000}" name="Team"/>
    <tableColumn id="3" xr3:uid="{00000000-0010-0000-1000-000003000000}" name="G1"/>
    <tableColumn id="4" xr3:uid="{00000000-0010-0000-1000-000004000000}" name="G2"/>
    <tableColumn id="5" xr3:uid="{00000000-0010-0000-1000-000005000000}" name="G3"/>
    <tableColumn id="6" xr3:uid="{00000000-0010-0000-1000-000006000000}" name="G4"/>
    <tableColumn id="7" xr3:uid="{00000000-0010-0000-1000-000007000000}" name="G5"/>
    <tableColumn id="8" xr3:uid="{00000000-0010-0000-1000-000008000000}" name="G6"/>
    <tableColumn id="9" xr3:uid="{00000000-0010-0000-1000-000009000000}" name="G7"/>
    <tableColumn id="10" xr3:uid="{00000000-0010-0000-1000-00000A000000}" name="G8"/>
    <tableColumn id="11" xr3:uid="{00000000-0010-0000-1000-00000B000000}" name="G9"/>
    <tableColumn id="12" xr3:uid="{00000000-0010-0000-1000-00000C000000}" name="G10"/>
    <tableColumn id="13" xr3:uid="{00000000-0010-0000-1000-00000D000000}" name="Total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Drivers_1967" displayName="Drivers_1967" ref="A3:M23">
  <autoFilter ref="A3:M23" xr:uid="{00000000-0009-0000-0100-000012000000}"/>
  <tableColumns count="13">
    <tableColumn id="1" xr3:uid="{00000000-0010-0000-1100-000001000000}" name="Pilota"/>
    <tableColumn id="2" xr3:uid="{00000000-0010-0000-1100-000002000000}" name="Team"/>
    <tableColumn id="3" xr3:uid="{00000000-0010-0000-1100-000003000000}" name="G1"/>
    <tableColumn id="4" xr3:uid="{00000000-0010-0000-1100-000004000000}" name="G2"/>
    <tableColumn id="5" xr3:uid="{00000000-0010-0000-1100-000005000000}" name="G3"/>
    <tableColumn id="6" xr3:uid="{00000000-0010-0000-1100-000006000000}" name="G4"/>
    <tableColumn id="7" xr3:uid="{00000000-0010-0000-1100-000007000000}" name="G5"/>
    <tableColumn id="8" xr3:uid="{00000000-0010-0000-1100-000008000000}" name="G6"/>
    <tableColumn id="9" xr3:uid="{00000000-0010-0000-1100-000009000000}" name="G7"/>
    <tableColumn id="10" xr3:uid="{00000000-0010-0000-1100-00000A000000}" name="G8"/>
    <tableColumn id="11" xr3:uid="{00000000-0010-0000-1100-00000B000000}" name="G9"/>
    <tableColumn id="12" xr3:uid="{00000000-0010-0000-1100-00000C000000}" name="G10"/>
    <tableColumn id="13" xr3:uid="{00000000-0010-0000-1100-00000D000000}" name="Tota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Drivers_1968" displayName="Drivers_1968" ref="A3:M23">
  <autoFilter ref="A3:M23" xr:uid="{00000000-0009-0000-0100-000013000000}"/>
  <tableColumns count="13">
    <tableColumn id="1" xr3:uid="{00000000-0010-0000-1200-000001000000}" name="Pilota"/>
    <tableColumn id="2" xr3:uid="{00000000-0010-0000-1200-000002000000}" name="Team"/>
    <tableColumn id="3" xr3:uid="{00000000-0010-0000-1200-000003000000}" name="G1"/>
    <tableColumn id="4" xr3:uid="{00000000-0010-0000-1200-000004000000}" name="G2"/>
    <tableColumn id="5" xr3:uid="{00000000-0010-0000-1200-000005000000}" name="G3"/>
    <tableColumn id="6" xr3:uid="{00000000-0010-0000-1200-000006000000}" name="G4"/>
    <tableColumn id="7" xr3:uid="{00000000-0010-0000-1200-000007000000}" name="G5"/>
    <tableColumn id="8" xr3:uid="{00000000-0010-0000-1200-000008000000}" name="G6"/>
    <tableColumn id="9" xr3:uid="{00000000-0010-0000-1200-000009000000}" name="G7"/>
    <tableColumn id="10" xr3:uid="{00000000-0010-0000-1200-00000A000000}" name="G8"/>
    <tableColumn id="11" xr3:uid="{00000000-0010-0000-1200-00000B000000}" name="G9"/>
    <tableColumn id="12" xr3:uid="{00000000-0010-0000-1200-00000C000000}" name="G10"/>
    <tableColumn id="13" xr3:uid="{00000000-0010-0000-1200-00000D000000}" name="Total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Drivers_1969" displayName="Drivers_1969" ref="A3:M23">
  <autoFilter ref="A3:M23" xr:uid="{00000000-0009-0000-0100-000014000000}"/>
  <tableColumns count="13">
    <tableColumn id="1" xr3:uid="{00000000-0010-0000-1300-000001000000}" name="Pilota"/>
    <tableColumn id="2" xr3:uid="{00000000-0010-0000-1300-000002000000}" name="Team"/>
    <tableColumn id="3" xr3:uid="{00000000-0010-0000-1300-000003000000}" name="G1"/>
    <tableColumn id="4" xr3:uid="{00000000-0010-0000-1300-000004000000}" name="G2"/>
    <tableColumn id="5" xr3:uid="{00000000-0010-0000-1300-000005000000}" name="G3"/>
    <tableColumn id="6" xr3:uid="{00000000-0010-0000-1300-000006000000}" name="G4"/>
    <tableColumn id="7" xr3:uid="{00000000-0010-0000-1300-000007000000}" name="G5"/>
    <tableColumn id="8" xr3:uid="{00000000-0010-0000-1300-000008000000}" name="G6"/>
    <tableColumn id="9" xr3:uid="{00000000-0010-0000-1300-000009000000}" name="G7"/>
    <tableColumn id="10" xr3:uid="{00000000-0010-0000-1300-00000A000000}" name="G8"/>
    <tableColumn id="11" xr3:uid="{00000000-0010-0000-1300-00000B000000}" name="G9"/>
    <tableColumn id="12" xr3:uid="{00000000-0010-0000-1300-00000C000000}" name="G10"/>
    <tableColumn id="13" xr3:uid="{00000000-0010-0000-1300-00000D000000}" name="Total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rivers_1970" displayName="Drivers_1970" ref="A3:M23">
  <autoFilter ref="A3:M23" xr:uid="{00000000-0009-0000-0100-000015000000}"/>
  <tableColumns count="13">
    <tableColumn id="1" xr3:uid="{00000000-0010-0000-1400-000001000000}" name="Pilota"/>
    <tableColumn id="2" xr3:uid="{00000000-0010-0000-1400-000002000000}" name="Team"/>
    <tableColumn id="3" xr3:uid="{00000000-0010-0000-1400-000003000000}" name="G1"/>
    <tableColumn id="4" xr3:uid="{00000000-0010-0000-1400-000004000000}" name="G2"/>
    <tableColumn id="5" xr3:uid="{00000000-0010-0000-1400-000005000000}" name="G3"/>
    <tableColumn id="6" xr3:uid="{00000000-0010-0000-1400-000006000000}" name="G4"/>
    <tableColumn id="7" xr3:uid="{00000000-0010-0000-1400-000007000000}" name="G5"/>
    <tableColumn id="8" xr3:uid="{00000000-0010-0000-1400-000008000000}" name="G6"/>
    <tableColumn id="9" xr3:uid="{00000000-0010-0000-1400-000009000000}" name="G7"/>
    <tableColumn id="10" xr3:uid="{00000000-0010-0000-1400-00000A000000}" name="G8"/>
    <tableColumn id="11" xr3:uid="{00000000-0010-0000-1400-00000B000000}" name="G9"/>
    <tableColumn id="12" xr3:uid="{00000000-0010-0000-1400-00000C000000}" name="G10"/>
    <tableColumn id="13" xr3:uid="{00000000-0010-0000-1400-00000D000000}" name="Tota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rivers_1971" displayName="Drivers_1971" ref="A3:M23">
  <autoFilter ref="A3:M23" xr:uid="{00000000-0009-0000-0100-000016000000}"/>
  <tableColumns count="13">
    <tableColumn id="1" xr3:uid="{00000000-0010-0000-1500-000001000000}" name="Pilota"/>
    <tableColumn id="2" xr3:uid="{00000000-0010-0000-1500-000002000000}" name="Team"/>
    <tableColumn id="3" xr3:uid="{00000000-0010-0000-1500-000003000000}" name="G1"/>
    <tableColumn id="4" xr3:uid="{00000000-0010-0000-1500-000004000000}" name="G2"/>
    <tableColumn id="5" xr3:uid="{00000000-0010-0000-1500-000005000000}" name="G3"/>
    <tableColumn id="6" xr3:uid="{00000000-0010-0000-1500-000006000000}" name="G4"/>
    <tableColumn id="7" xr3:uid="{00000000-0010-0000-1500-000007000000}" name="G5"/>
    <tableColumn id="8" xr3:uid="{00000000-0010-0000-1500-000008000000}" name="G6"/>
    <tableColumn id="9" xr3:uid="{00000000-0010-0000-1500-000009000000}" name="G7"/>
    <tableColumn id="10" xr3:uid="{00000000-0010-0000-1500-00000A000000}" name="G8"/>
    <tableColumn id="11" xr3:uid="{00000000-0010-0000-1500-00000B000000}" name="G9"/>
    <tableColumn id="12" xr3:uid="{00000000-0010-0000-1500-00000C000000}" name="G10"/>
    <tableColumn id="13" xr3:uid="{00000000-0010-0000-1500-00000D000000}" name="Total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rivers_1972" displayName="Drivers_1972" ref="A3:M23">
  <autoFilter ref="A3:M23" xr:uid="{00000000-0009-0000-0100-000017000000}"/>
  <tableColumns count="13">
    <tableColumn id="1" xr3:uid="{00000000-0010-0000-1600-000001000000}" name="Pilota"/>
    <tableColumn id="2" xr3:uid="{00000000-0010-0000-1600-000002000000}" name="Team"/>
    <tableColumn id="3" xr3:uid="{00000000-0010-0000-1600-000003000000}" name="G1"/>
    <tableColumn id="4" xr3:uid="{00000000-0010-0000-1600-000004000000}" name="G2"/>
    <tableColumn id="5" xr3:uid="{00000000-0010-0000-1600-000005000000}" name="G3"/>
    <tableColumn id="6" xr3:uid="{00000000-0010-0000-1600-000006000000}" name="G4"/>
    <tableColumn id="7" xr3:uid="{00000000-0010-0000-1600-000007000000}" name="G5"/>
    <tableColumn id="8" xr3:uid="{00000000-0010-0000-1600-000008000000}" name="G6"/>
    <tableColumn id="9" xr3:uid="{00000000-0010-0000-1600-000009000000}" name="G7"/>
    <tableColumn id="10" xr3:uid="{00000000-0010-0000-1600-00000A000000}" name="G8"/>
    <tableColumn id="11" xr3:uid="{00000000-0010-0000-1600-00000B000000}" name="G9"/>
    <tableColumn id="12" xr3:uid="{00000000-0010-0000-1600-00000C000000}" name="G10"/>
    <tableColumn id="13" xr3:uid="{00000000-0010-0000-1600-00000D000000}" name="Total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rivers_1973" displayName="Drivers_1973" ref="A3:M23">
  <autoFilter ref="A3:M23" xr:uid="{00000000-0009-0000-0100-000018000000}"/>
  <tableColumns count="13">
    <tableColumn id="1" xr3:uid="{00000000-0010-0000-1700-000001000000}" name="Pilota"/>
    <tableColumn id="2" xr3:uid="{00000000-0010-0000-1700-000002000000}" name="Team"/>
    <tableColumn id="3" xr3:uid="{00000000-0010-0000-1700-000003000000}" name="G1"/>
    <tableColumn id="4" xr3:uid="{00000000-0010-0000-1700-000004000000}" name="G2"/>
    <tableColumn id="5" xr3:uid="{00000000-0010-0000-1700-000005000000}" name="G3"/>
    <tableColumn id="6" xr3:uid="{00000000-0010-0000-1700-000006000000}" name="G4"/>
    <tableColumn id="7" xr3:uid="{00000000-0010-0000-1700-000007000000}" name="G5"/>
    <tableColumn id="8" xr3:uid="{00000000-0010-0000-1700-000008000000}" name="G6"/>
    <tableColumn id="9" xr3:uid="{00000000-0010-0000-1700-000009000000}" name="G7"/>
    <tableColumn id="10" xr3:uid="{00000000-0010-0000-1700-00000A000000}" name="G8"/>
    <tableColumn id="11" xr3:uid="{00000000-0010-0000-1700-00000B000000}" name="G9"/>
    <tableColumn id="12" xr3:uid="{00000000-0010-0000-1700-00000C000000}" name="G10"/>
    <tableColumn id="13" xr3:uid="{00000000-0010-0000-1700-00000D000000}" name="Total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Drivers_1974" displayName="Drivers_1974" ref="A3:M23">
  <autoFilter ref="A3:M23" xr:uid="{00000000-0009-0000-0100-000019000000}"/>
  <tableColumns count="13">
    <tableColumn id="1" xr3:uid="{00000000-0010-0000-1800-000001000000}" name="Pilota"/>
    <tableColumn id="2" xr3:uid="{00000000-0010-0000-1800-000002000000}" name="Team"/>
    <tableColumn id="3" xr3:uid="{00000000-0010-0000-1800-000003000000}" name="G1"/>
    <tableColumn id="4" xr3:uid="{00000000-0010-0000-1800-000004000000}" name="G2"/>
    <tableColumn id="5" xr3:uid="{00000000-0010-0000-1800-000005000000}" name="G3"/>
    <tableColumn id="6" xr3:uid="{00000000-0010-0000-1800-000006000000}" name="G4"/>
    <tableColumn id="7" xr3:uid="{00000000-0010-0000-1800-000007000000}" name="G5"/>
    <tableColumn id="8" xr3:uid="{00000000-0010-0000-1800-000008000000}" name="G6"/>
    <tableColumn id="9" xr3:uid="{00000000-0010-0000-1800-000009000000}" name="G7"/>
    <tableColumn id="10" xr3:uid="{00000000-0010-0000-1800-00000A000000}" name="G8"/>
    <tableColumn id="11" xr3:uid="{00000000-0010-0000-1800-00000B000000}" name="G9"/>
    <tableColumn id="12" xr3:uid="{00000000-0010-0000-1800-00000C000000}" name="G10"/>
    <tableColumn id="13" xr3:uid="{00000000-0010-0000-1800-00000D000000}" name="Total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rivers_1975" displayName="Drivers_1975" ref="A3:M23">
  <autoFilter ref="A3:M23" xr:uid="{00000000-0009-0000-0100-00001A000000}"/>
  <tableColumns count="13">
    <tableColumn id="1" xr3:uid="{00000000-0010-0000-1900-000001000000}" name="Pilota"/>
    <tableColumn id="2" xr3:uid="{00000000-0010-0000-1900-000002000000}" name="Team"/>
    <tableColumn id="3" xr3:uid="{00000000-0010-0000-1900-000003000000}" name="G1"/>
    <tableColumn id="4" xr3:uid="{00000000-0010-0000-1900-000004000000}" name="G2"/>
    <tableColumn id="5" xr3:uid="{00000000-0010-0000-1900-000005000000}" name="G3"/>
    <tableColumn id="6" xr3:uid="{00000000-0010-0000-1900-000006000000}" name="G4"/>
    <tableColumn id="7" xr3:uid="{00000000-0010-0000-1900-000007000000}" name="G5"/>
    <tableColumn id="8" xr3:uid="{00000000-0010-0000-1900-000008000000}" name="G6"/>
    <tableColumn id="9" xr3:uid="{00000000-0010-0000-1900-000009000000}" name="G7"/>
    <tableColumn id="10" xr3:uid="{00000000-0010-0000-1900-00000A000000}" name="G8"/>
    <tableColumn id="11" xr3:uid="{00000000-0010-0000-1900-00000B000000}" name="G9"/>
    <tableColumn id="12" xr3:uid="{00000000-0010-0000-1900-00000C000000}" name="G10"/>
    <tableColumn id="13" xr3:uid="{00000000-0010-0000-1900-00000D000000}" name="Total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Drivers_1976" displayName="Drivers_1976" ref="A3:M23">
  <autoFilter ref="A3:M23" xr:uid="{00000000-0009-0000-0100-00001B000000}"/>
  <tableColumns count="13">
    <tableColumn id="1" xr3:uid="{00000000-0010-0000-1A00-000001000000}" name="Pilota"/>
    <tableColumn id="2" xr3:uid="{00000000-0010-0000-1A00-000002000000}" name="Team"/>
    <tableColumn id="3" xr3:uid="{00000000-0010-0000-1A00-000003000000}" name="G1"/>
    <tableColumn id="4" xr3:uid="{00000000-0010-0000-1A00-000004000000}" name="G2"/>
    <tableColumn id="5" xr3:uid="{00000000-0010-0000-1A00-000005000000}" name="G3"/>
    <tableColumn id="6" xr3:uid="{00000000-0010-0000-1A00-000006000000}" name="G4"/>
    <tableColumn id="7" xr3:uid="{00000000-0010-0000-1A00-000007000000}" name="G5"/>
    <tableColumn id="8" xr3:uid="{00000000-0010-0000-1A00-000008000000}" name="G6"/>
    <tableColumn id="9" xr3:uid="{00000000-0010-0000-1A00-000009000000}" name="G7"/>
    <tableColumn id="10" xr3:uid="{00000000-0010-0000-1A00-00000A000000}" name="G8"/>
    <tableColumn id="11" xr3:uid="{00000000-0010-0000-1A00-00000B000000}" name="G9"/>
    <tableColumn id="12" xr3:uid="{00000000-0010-0000-1A00-00000C000000}" name="G10"/>
    <tableColumn id="13" xr3:uid="{00000000-0010-0000-1A00-00000D000000}" name="Total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Drivers_1977" displayName="Drivers_1977" ref="A3:M23">
  <autoFilter ref="A3:M23" xr:uid="{00000000-0009-0000-0100-00001C000000}"/>
  <tableColumns count="13">
    <tableColumn id="1" xr3:uid="{00000000-0010-0000-1B00-000001000000}" name="Pilota"/>
    <tableColumn id="2" xr3:uid="{00000000-0010-0000-1B00-000002000000}" name="Team"/>
    <tableColumn id="3" xr3:uid="{00000000-0010-0000-1B00-000003000000}" name="G1"/>
    <tableColumn id="4" xr3:uid="{00000000-0010-0000-1B00-000004000000}" name="G2"/>
    <tableColumn id="5" xr3:uid="{00000000-0010-0000-1B00-000005000000}" name="G3"/>
    <tableColumn id="6" xr3:uid="{00000000-0010-0000-1B00-000006000000}" name="G4"/>
    <tableColumn id="7" xr3:uid="{00000000-0010-0000-1B00-000007000000}" name="G5"/>
    <tableColumn id="8" xr3:uid="{00000000-0010-0000-1B00-000008000000}" name="G6"/>
    <tableColumn id="9" xr3:uid="{00000000-0010-0000-1B00-000009000000}" name="G7"/>
    <tableColumn id="10" xr3:uid="{00000000-0010-0000-1B00-00000A000000}" name="G8"/>
    <tableColumn id="11" xr3:uid="{00000000-0010-0000-1B00-00000B000000}" name="G9"/>
    <tableColumn id="12" xr3:uid="{00000000-0010-0000-1B00-00000C000000}" name="G10"/>
    <tableColumn id="13" xr3:uid="{00000000-0010-0000-1B00-00000D000000}" name="Total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Drivers_1978" displayName="Drivers_1978" ref="A3:M23">
  <autoFilter ref="A3:M23" xr:uid="{00000000-0009-0000-0100-00001D000000}"/>
  <tableColumns count="13">
    <tableColumn id="1" xr3:uid="{00000000-0010-0000-1C00-000001000000}" name="Pilota"/>
    <tableColumn id="2" xr3:uid="{00000000-0010-0000-1C00-000002000000}" name="Team"/>
    <tableColumn id="3" xr3:uid="{00000000-0010-0000-1C00-000003000000}" name="G1"/>
    <tableColumn id="4" xr3:uid="{00000000-0010-0000-1C00-000004000000}" name="G2"/>
    <tableColumn id="5" xr3:uid="{00000000-0010-0000-1C00-000005000000}" name="G3"/>
    <tableColumn id="6" xr3:uid="{00000000-0010-0000-1C00-000006000000}" name="G4"/>
    <tableColumn id="7" xr3:uid="{00000000-0010-0000-1C00-000007000000}" name="G5"/>
    <tableColumn id="8" xr3:uid="{00000000-0010-0000-1C00-000008000000}" name="G6"/>
    <tableColumn id="9" xr3:uid="{00000000-0010-0000-1C00-000009000000}" name="G7"/>
    <tableColumn id="10" xr3:uid="{00000000-0010-0000-1C00-00000A000000}" name="G8"/>
    <tableColumn id="11" xr3:uid="{00000000-0010-0000-1C00-00000B000000}" name="G9"/>
    <tableColumn id="12" xr3:uid="{00000000-0010-0000-1C00-00000C000000}" name="G10"/>
    <tableColumn id="13" xr3:uid="{00000000-0010-0000-1C00-00000D000000}" name="Total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Drivers_1979" displayName="Drivers_1979" ref="A3:M23">
  <autoFilter ref="A3:M23" xr:uid="{00000000-0009-0000-0100-00001E000000}"/>
  <tableColumns count="13">
    <tableColumn id="1" xr3:uid="{00000000-0010-0000-1D00-000001000000}" name="Pilota"/>
    <tableColumn id="2" xr3:uid="{00000000-0010-0000-1D00-000002000000}" name="Team"/>
    <tableColumn id="3" xr3:uid="{00000000-0010-0000-1D00-000003000000}" name="G1"/>
    <tableColumn id="4" xr3:uid="{00000000-0010-0000-1D00-000004000000}" name="G2"/>
    <tableColumn id="5" xr3:uid="{00000000-0010-0000-1D00-000005000000}" name="G3"/>
    <tableColumn id="6" xr3:uid="{00000000-0010-0000-1D00-000006000000}" name="G4"/>
    <tableColumn id="7" xr3:uid="{00000000-0010-0000-1D00-000007000000}" name="G5"/>
    <tableColumn id="8" xr3:uid="{00000000-0010-0000-1D00-000008000000}" name="G6"/>
    <tableColumn id="9" xr3:uid="{00000000-0010-0000-1D00-000009000000}" name="G7"/>
    <tableColumn id="10" xr3:uid="{00000000-0010-0000-1D00-00000A000000}" name="G8"/>
    <tableColumn id="11" xr3:uid="{00000000-0010-0000-1D00-00000B000000}" name="G9"/>
    <tableColumn id="12" xr3:uid="{00000000-0010-0000-1D00-00000C000000}" name="G10"/>
    <tableColumn id="13" xr3:uid="{00000000-0010-0000-1D00-00000D000000}" name="Total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Drivers_1980" displayName="Drivers_1980" ref="A3:M23">
  <autoFilter ref="A3:M23" xr:uid="{00000000-0009-0000-0100-00001F000000}"/>
  <tableColumns count="13">
    <tableColumn id="1" xr3:uid="{00000000-0010-0000-1E00-000001000000}" name="Pilota"/>
    <tableColumn id="2" xr3:uid="{00000000-0010-0000-1E00-000002000000}" name="Team"/>
    <tableColumn id="3" xr3:uid="{00000000-0010-0000-1E00-000003000000}" name="G1"/>
    <tableColumn id="4" xr3:uid="{00000000-0010-0000-1E00-000004000000}" name="G2"/>
    <tableColumn id="5" xr3:uid="{00000000-0010-0000-1E00-000005000000}" name="G3"/>
    <tableColumn id="6" xr3:uid="{00000000-0010-0000-1E00-000006000000}" name="G4"/>
    <tableColumn id="7" xr3:uid="{00000000-0010-0000-1E00-000007000000}" name="G5"/>
    <tableColumn id="8" xr3:uid="{00000000-0010-0000-1E00-000008000000}" name="G6"/>
    <tableColumn id="9" xr3:uid="{00000000-0010-0000-1E00-000009000000}" name="G7"/>
    <tableColumn id="10" xr3:uid="{00000000-0010-0000-1E00-00000A000000}" name="G8"/>
    <tableColumn id="11" xr3:uid="{00000000-0010-0000-1E00-00000B000000}" name="G9"/>
    <tableColumn id="12" xr3:uid="{00000000-0010-0000-1E00-00000C000000}" name="G10"/>
    <tableColumn id="13" xr3:uid="{00000000-0010-0000-1E00-00000D000000}" name="Total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Drivers_1981" displayName="Drivers_1981" ref="A3:M23">
  <autoFilter ref="A3:M23" xr:uid="{00000000-0009-0000-0100-000020000000}"/>
  <tableColumns count="13">
    <tableColumn id="1" xr3:uid="{00000000-0010-0000-1F00-000001000000}" name="Pilota"/>
    <tableColumn id="2" xr3:uid="{00000000-0010-0000-1F00-000002000000}" name="Team"/>
    <tableColumn id="3" xr3:uid="{00000000-0010-0000-1F00-000003000000}" name="G1"/>
    <tableColumn id="4" xr3:uid="{00000000-0010-0000-1F00-000004000000}" name="G2"/>
    <tableColumn id="5" xr3:uid="{00000000-0010-0000-1F00-000005000000}" name="G3"/>
    <tableColumn id="6" xr3:uid="{00000000-0010-0000-1F00-000006000000}" name="G4"/>
    <tableColumn id="7" xr3:uid="{00000000-0010-0000-1F00-000007000000}" name="G5"/>
    <tableColumn id="8" xr3:uid="{00000000-0010-0000-1F00-000008000000}" name="G6"/>
    <tableColumn id="9" xr3:uid="{00000000-0010-0000-1F00-000009000000}" name="G7"/>
    <tableColumn id="10" xr3:uid="{00000000-0010-0000-1F00-00000A000000}" name="G8"/>
    <tableColumn id="11" xr3:uid="{00000000-0010-0000-1F00-00000B000000}" name="G9"/>
    <tableColumn id="12" xr3:uid="{00000000-0010-0000-1F00-00000C000000}" name="G10"/>
    <tableColumn id="13" xr3:uid="{00000000-0010-0000-1F00-00000D000000}" name="Total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Drivers_1982" displayName="Drivers_1982" ref="A3:S29">
  <autoFilter ref="A3:S29" xr:uid="{00000000-0009-0000-0100-000021000000}"/>
  <tableColumns count="19">
    <tableColumn id="1" xr3:uid="{00000000-0010-0000-2000-000001000000}" name="Pilota" dataDxfId="97"/>
    <tableColumn id="2" xr3:uid="{00000000-0010-0000-2000-000002000000}" name="Team" dataDxfId="96"/>
    <tableColumn id="3" xr3:uid="{00000000-0010-0000-2000-000003000000}" name="Sudafrica" dataDxfId="95"/>
    <tableColumn id="4" xr3:uid="{00000000-0010-0000-2000-000004000000}" name="Brasile" dataDxfId="94"/>
    <tableColumn id="5" xr3:uid="{00000000-0010-0000-2000-000005000000}" name="Su Ovest" dataDxfId="93"/>
    <tableColumn id="6" xr3:uid="{00000000-0010-0000-2000-000006000000}" name="San Marino" dataDxfId="92"/>
    <tableColumn id="7" xr3:uid="{00000000-0010-0000-2000-000007000000}" name="Belgio" dataDxfId="91"/>
    <tableColumn id="8" xr3:uid="{00000000-0010-0000-2000-000008000000}" name="Monaco" dataDxfId="90"/>
    <tableColumn id="9" xr3:uid="{00000000-0010-0000-2000-000009000000}" name="Detroit" dataDxfId="89"/>
    <tableColumn id="10" xr3:uid="{00000000-0010-0000-2000-00000A000000}" name="Canada" dataDxfId="88"/>
    <tableColumn id="11" xr3:uid="{00000000-0010-0000-2000-00000B000000}" name="Paesi Bassi" dataDxfId="87"/>
    <tableColumn id="12" xr3:uid="{00000000-0010-0000-2000-00000C000000}" name="Gran Bretagna" dataDxfId="86"/>
    <tableColumn id="19" xr3:uid="{DD62953A-F1A8-4234-BE7A-E91626D8A0CA}" name="Francia" dataDxfId="85"/>
    <tableColumn id="18" xr3:uid="{7FA3DE75-987F-4410-9BB5-B4501F731532}" name="Germania" dataDxfId="84"/>
    <tableColumn id="17" xr3:uid="{64460484-3C25-41A0-ABFE-0846EC3F8390}" name="Austria" dataDxfId="83"/>
    <tableColumn id="16" xr3:uid="{A0D118F0-2545-469F-9339-31FD920C6AFF}" name="Svizzera" dataDxfId="82"/>
    <tableColumn id="15" xr3:uid="{037DBFA6-75AF-4BCF-8BC1-15476A40A6F5}" name="Italia" dataDxfId="81"/>
    <tableColumn id="14" xr3:uid="{78D8C1BD-12F2-4D54-96C9-9000870B0CE2}" name="Las Vegas" dataDxfId="80"/>
    <tableColumn id="13" xr3:uid="{00000000-0010-0000-2000-00000D000000}" name="Totale" dataDxfId="79">
      <calculatedColumnFormula>SUM(C4:R4)</calculatedColumn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Drivers_1983" displayName="Drivers_1983" ref="A3:M23">
  <autoFilter ref="A3:M23" xr:uid="{00000000-0009-0000-0100-000022000000}"/>
  <tableColumns count="13">
    <tableColumn id="1" xr3:uid="{00000000-0010-0000-2100-000001000000}" name="Pilota"/>
    <tableColumn id="2" xr3:uid="{00000000-0010-0000-2100-000002000000}" name="Team"/>
    <tableColumn id="3" xr3:uid="{00000000-0010-0000-2100-000003000000}" name="G1"/>
    <tableColumn id="4" xr3:uid="{00000000-0010-0000-2100-000004000000}" name="G2"/>
    <tableColumn id="5" xr3:uid="{00000000-0010-0000-2100-000005000000}" name="G3"/>
    <tableColumn id="6" xr3:uid="{00000000-0010-0000-2100-000006000000}" name="G4"/>
    <tableColumn id="7" xr3:uid="{00000000-0010-0000-2100-000007000000}" name="G5"/>
    <tableColumn id="8" xr3:uid="{00000000-0010-0000-2100-000008000000}" name="G6"/>
    <tableColumn id="9" xr3:uid="{00000000-0010-0000-2100-000009000000}" name="G7"/>
    <tableColumn id="10" xr3:uid="{00000000-0010-0000-2100-00000A000000}" name="G8"/>
    <tableColumn id="11" xr3:uid="{00000000-0010-0000-2100-00000B000000}" name="G9"/>
    <tableColumn id="12" xr3:uid="{00000000-0010-0000-2100-00000C000000}" name="G10"/>
    <tableColumn id="13" xr3:uid="{00000000-0010-0000-2100-00000D000000}" name="Total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Drivers_1984" displayName="Drivers_1984" ref="A3:M23">
  <autoFilter ref="A3:M23" xr:uid="{00000000-0009-0000-0100-000023000000}"/>
  <tableColumns count="13">
    <tableColumn id="1" xr3:uid="{00000000-0010-0000-2200-000001000000}" name="Pilota"/>
    <tableColumn id="2" xr3:uid="{00000000-0010-0000-2200-000002000000}" name="Team"/>
    <tableColumn id="3" xr3:uid="{00000000-0010-0000-2200-000003000000}" name="G1"/>
    <tableColumn id="4" xr3:uid="{00000000-0010-0000-2200-000004000000}" name="G2"/>
    <tableColumn id="5" xr3:uid="{00000000-0010-0000-2200-000005000000}" name="G3"/>
    <tableColumn id="6" xr3:uid="{00000000-0010-0000-2200-000006000000}" name="G4"/>
    <tableColumn id="7" xr3:uid="{00000000-0010-0000-2200-000007000000}" name="G5"/>
    <tableColumn id="8" xr3:uid="{00000000-0010-0000-2200-000008000000}" name="G6"/>
    <tableColumn id="9" xr3:uid="{00000000-0010-0000-2200-000009000000}" name="G7"/>
    <tableColumn id="10" xr3:uid="{00000000-0010-0000-2200-00000A000000}" name="G8"/>
    <tableColumn id="11" xr3:uid="{00000000-0010-0000-2200-00000B000000}" name="G9"/>
    <tableColumn id="12" xr3:uid="{00000000-0010-0000-2200-00000C000000}" name="G10"/>
    <tableColumn id="13" xr3:uid="{00000000-0010-0000-2200-00000D000000}" name="Total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Drivers_1985" displayName="Drivers_1985" ref="A3:M23">
  <autoFilter ref="A3:M23" xr:uid="{00000000-0009-0000-0100-000024000000}"/>
  <tableColumns count="13">
    <tableColumn id="1" xr3:uid="{00000000-0010-0000-2300-000001000000}" name="Pilota"/>
    <tableColumn id="2" xr3:uid="{00000000-0010-0000-2300-000002000000}" name="Team"/>
    <tableColumn id="3" xr3:uid="{00000000-0010-0000-2300-000003000000}" name="G1"/>
    <tableColumn id="4" xr3:uid="{00000000-0010-0000-2300-000004000000}" name="G2"/>
    <tableColumn id="5" xr3:uid="{00000000-0010-0000-2300-000005000000}" name="G3"/>
    <tableColumn id="6" xr3:uid="{00000000-0010-0000-2300-000006000000}" name="G4"/>
    <tableColumn id="7" xr3:uid="{00000000-0010-0000-2300-000007000000}" name="G5"/>
    <tableColumn id="8" xr3:uid="{00000000-0010-0000-2300-000008000000}" name="G6"/>
    <tableColumn id="9" xr3:uid="{00000000-0010-0000-2300-000009000000}" name="G7"/>
    <tableColumn id="10" xr3:uid="{00000000-0010-0000-2300-00000A000000}" name="G8"/>
    <tableColumn id="11" xr3:uid="{00000000-0010-0000-2300-00000B000000}" name="G9"/>
    <tableColumn id="12" xr3:uid="{00000000-0010-0000-2300-00000C000000}" name="G10"/>
    <tableColumn id="13" xr3:uid="{00000000-0010-0000-2300-00000D000000}" name="Total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Drivers_1986" displayName="Drivers_1986" ref="A3:M23">
  <autoFilter ref="A3:M23" xr:uid="{00000000-0009-0000-0100-000025000000}"/>
  <tableColumns count="13">
    <tableColumn id="1" xr3:uid="{00000000-0010-0000-2400-000001000000}" name="Pilota"/>
    <tableColumn id="2" xr3:uid="{00000000-0010-0000-2400-000002000000}" name="Team"/>
    <tableColumn id="3" xr3:uid="{00000000-0010-0000-2400-000003000000}" name="G1"/>
    <tableColumn id="4" xr3:uid="{00000000-0010-0000-2400-000004000000}" name="G2"/>
    <tableColumn id="5" xr3:uid="{00000000-0010-0000-2400-000005000000}" name="G3"/>
    <tableColumn id="6" xr3:uid="{00000000-0010-0000-2400-000006000000}" name="G4"/>
    <tableColumn id="7" xr3:uid="{00000000-0010-0000-2400-000007000000}" name="G5"/>
    <tableColumn id="8" xr3:uid="{00000000-0010-0000-2400-000008000000}" name="G6"/>
    <tableColumn id="9" xr3:uid="{00000000-0010-0000-2400-000009000000}" name="G7"/>
    <tableColumn id="10" xr3:uid="{00000000-0010-0000-2400-00000A000000}" name="G8"/>
    <tableColumn id="11" xr3:uid="{00000000-0010-0000-2400-00000B000000}" name="G9"/>
    <tableColumn id="12" xr3:uid="{00000000-0010-0000-2400-00000C000000}" name="G10"/>
    <tableColumn id="13" xr3:uid="{00000000-0010-0000-2400-00000D000000}" name="Total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Drivers_1987" displayName="Drivers_1987" ref="A3:M23">
  <autoFilter ref="A3:M23" xr:uid="{00000000-0009-0000-0100-000026000000}"/>
  <tableColumns count="13">
    <tableColumn id="1" xr3:uid="{00000000-0010-0000-2500-000001000000}" name="Pilota"/>
    <tableColumn id="2" xr3:uid="{00000000-0010-0000-2500-000002000000}" name="Team"/>
    <tableColumn id="3" xr3:uid="{00000000-0010-0000-2500-000003000000}" name="G1"/>
    <tableColumn id="4" xr3:uid="{00000000-0010-0000-2500-000004000000}" name="G2"/>
    <tableColumn id="5" xr3:uid="{00000000-0010-0000-2500-000005000000}" name="G3"/>
    <tableColumn id="6" xr3:uid="{00000000-0010-0000-2500-000006000000}" name="G4"/>
    <tableColumn id="7" xr3:uid="{00000000-0010-0000-2500-000007000000}" name="G5"/>
    <tableColumn id="8" xr3:uid="{00000000-0010-0000-2500-000008000000}" name="G6"/>
    <tableColumn id="9" xr3:uid="{00000000-0010-0000-2500-000009000000}" name="G7"/>
    <tableColumn id="10" xr3:uid="{00000000-0010-0000-2500-00000A000000}" name="G8"/>
    <tableColumn id="11" xr3:uid="{00000000-0010-0000-2500-00000B000000}" name="G9"/>
    <tableColumn id="12" xr3:uid="{00000000-0010-0000-2500-00000C000000}" name="G10"/>
    <tableColumn id="13" xr3:uid="{00000000-0010-0000-2500-00000D000000}" name="Total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Drivers_1988" displayName="Drivers_1988" ref="A3:M23">
  <autoFilter ref="A3:M23" xr:uid="{00000000-0009-0000-0100-000027000000}"/>
  <tableColumns count="13">
    <tableColumn id="1" xr3:uid="{00000000-0010-0000-2600-000001000000}" name="Pilota"/>
    <tableColumn id="2" xr3:uid="{00000000-0010-0000-2600-000002000000}" name="Team"/>
    <tableColumn id="3" xr3:uid="{00000000-0010-0000-2600-000003000000}" name="G1"/>
    <tableColumn id="4" xr3:uid="{00000000-0010-0000-2600-000004000000}" name="G2"/>
    <tableColumn id="5" xr3:uid="{00000000-0010-0000-2600-000005000000}" name="G3"/>
    <tableColumn id="6" xr3:uid="{00000000-0010-0000-2600-000006000000}" name="G4"/>
    <tableColumn id="7" xr3:uid="{00000000-0010-0000-2600-000007000000}" name="G5"/>
    <tableColumn id="8" xr3:uid="{00000000-0010-0000-2600-000008000000}" name="G6"/>
    <tableColumn id="9" xr3:uid="{00000000-0010-0000-2600-000009000000}" name="G7"/>
    <tableColumn id="10" xr3:uid="{00000000-0010-0000-2600-00000A000000}" name="G8"/>
    <tableColumn id="11" xr3:uid="{00000000-0010-0000-2600-00000B000000}" name="G9"/>
    <tableColumn id="12" xr3:uid="{00000000-0010-0000-2600-00000C000000}" name="G10"/>
    <tableColumn id="13" xr3:uid="{00000000-0010-0000-2600-00000D000000}" name="Total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Drivers_1989" displayName="Drivers_1989" ref="A3:M23">
  <autoFilter ref="A3:M23" xr:uid="{00000000-0009-0000-0100-000028000000}"/>
  <tableColumns count="13">
    <tableColumn id="1" xr3:uid="{00000000-0010-0000-2700-000001000000}" name="Pilota"/>
    <tableColumn id="2" xr3:uid="{00000000-0010-0000-2700-000002000000}" name="Team"/>
    <tableColumn id="3" xr3:uid="{00000000-0010-0000-2700-000003000000}" name="G1"/>
    <tableColumn id="4" xr3:uid="{00000000-0010-0000-2700-000004000000}" name="G2"/>
    <tableColumn id="5" xr3:uid="{00000000-0010-0000-2700-000005000000}" name="G3"/>
    <tableColumn id="6" xr3:uid="{00000000-0010-0000-2700-000006000000}" name="G4"/>
    <tableColumn id="7" xr3:uid="{00000000-0010-0000-2700-000007000000}" name="G5"/>
    <tableColumn id="8" xr3:uid="{00000000-0010-0000-2700-000008000000}" name="G6"/>
    <tableColumn id="9" xr3:uid="{00000000-0010-0000-2700-000009000000}" name="G7"/>
    <tableColumn id="10" xr3:uid="{00000000-0010-0000-2700-00000A000000}" name="G8"/>
    <tableColumn id="11" xr3:uid="{00000000-0010-0000-2700-00000B000000}" name="G9"/>
    <tableColumn id="12" xr3:uid="{00000000-0010-0000-2700-00000C000000}" name="G10"/>
    <tableColumn id="13" xr3:uid="{00000000-0010-0000-2700-00000D000000}" name="Total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Drivers_1990" displayName="Drivers_1990" ref="A3:M23">
  <autoFilter ref="A3:M23" xr:uid="{00000000-0009-0000-0100-000029000000}"/>
  <tableColumns count="13">
    <tableColumn id="1" xr3:uid="{00000000-0010-0000-2800-000001000000}" name="Pilota"/>
    <tableColumn id="2" xr3:uid="{00000000-0010-0000-2800-000002000000}" name="Team"/>
    <tableColumn id="3" xr3:uid="{00000000-0010-0000-2800-000003000000}" name="G1"/>
    <tableColumn id="4" xr3:uid="{00000000-0010-0000-2800-000004000000}" name="G2"/>
    <tableColumn id="5" xr3:uid="{00000000-0010-0000-2800-000005000000}" name="G3"/>
    <tableColumn id="6" xr3:uid="{00000000-0010-0000-2800-000006000000}" name="G4"/>
    <tableColumn id="7" xr3:uid="{00000000-0010-0000-2800-000007000000}" name="G5"/>
    <tableColumn id="8" xr3:uid="{00000000-0010-0000-2800-000008000000}" name="G6"/>
    <tableColumn id="9" xr3:uid="{00000000-0010-0000-2800-000009000000}" name="G7"/>
    <tableColumn id="10" xr3:uid="{00000000-0010-0000-2800-00000A000000}" name="G8"/>
    <tableColumn id="11" xr3:uid="{00000000-0010-0000-2800-00000B000000}" name="G9"/>
    <tableColumn id="12" xr3:uid="{00000000-0010-0000-2800-00000C000000}" name="G10"/>
    <tableColumn id="13" xr3:uid="{00000000-0010-0000-2800-00000D000000}" name="Total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Drivers_1991" displayName="Drivers_1991" ref="A3:M23">
  <autoFilter ref="A3:M23" xr:uid="{00000000-0009-0000-0100-00002A000000}"/>
  <tableColumns count="13">
    <tableColumn id="1" xr3:uid="{00000000-0010-0000-2900-000001000000}" name="Pilota"/>
    <tableColumn id="2" xr3:uid="{00000000-0010-0000-2900-000002000000}" name="Team"/>
    <tableColumn id="3" xr3:uid="{00000000-0010-0000-2900-000003000000}" name="G1"/>
    <tableColumn id="4" xr3:uid="{00000000-0010-0000-2900-000004000000}" name="G2"/>
    <tableColumn id="5" xr3:uid="{00000000-0010-0000-2900-000005000000}" name="G3"/>
    <tableColumn id="6" xr3:uid="{00000000-0010-0000-2900-000006000000}" name="G4"/>
    <tableColumn id="7" xr3:uid="{00000000-0010-0000-2900-000007000000}" name="G5"/>
    <tableColumn id="8" xr3:uid="{00000000-0010-0000-2900-000008000000}" name="G6"/>
    <tableColumn id="9" xr3:uid="{00000000-0010-0000-2900-000009000000}" name="G7"/>
    <tableColumn id="10" xr3:uid="{00000000-0010-0000-2900-00000A000000}" name="G8"/>
    <tableColumn id="11" xr3:uid="{00000000-0010-0000-2900-00000B000000}" name="G9"/>
    <tableColumn id="12" xr3:uid="{00000000-0010-0000-2900-00000C000000}" name="G10"/>
    <tableColumn id="13" xr3:uid="{00000000-0010-0000-2900-00000D000000}" name="Total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Drivers_1992" displayName="Drivers_1992" ref="A3:M23">
  <autoFilter ref="A3:M23" xr:uid="{00000000-0009-0000-0100-00002B000000}"/>
  <tableColumns count="13">
    <tableColumn id="1" xr3:uid="{00000000-0010-0000-2A00-000001000000}" name="Pilota"/>
    <tableColumn id="2" xr3:uid="{00000000-0010-0000-2A00-000002000000}" name="Team"/>
    <tableColumn id="3" xr3:uid="{00000000-0010-0000-2A00-000003000000}" name="G1"/>
    <tableColumn id="4" xr3:uid="{00000000-0010-0000-2A00-000004000000}" name="G2"/>
    <tableColumn id="5" xr3:uid="{00000000-0010-0000-2A00-000005000000}" name="G3"/>
    <tableColumn id="6" xr3:uid="{00000000-0010-0000-2A00-000006000000}" name="G4"/>
    <tableColumn id="7" xr3:uid="{00000000-0010-0000-2A00-000007000000}" name="G5"/>
    <tableColumn id="8" xr3:uid="{00000000-0010-0000-2A00-000008000000}" name="G6"/>
    <tableColumn id="9" xr3:uid="{00000000-0010-0000-2A00-000009000000}" name="G7"/>
    <tableColumn id="10" xr3:uid="{00000000-0010-0000-2A00-00000A000000}" name="G8"/>
    <tableColumn id="11" xr3:uid="{00000000-0010-0000-2A00-00000B000000}" name="G9"/>
    <tableColumn id="12" xr3:uid="{00000000-0010-0000-2A00-00000C000000}" name="G10"/>
    <tableColumn id="13" xr3:uid="{00000000-0010-0000-2A00-00000D000000}" name="Total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Drivers_1993" displayName="Drivers_1993" ref="A3:M23">
  <autoFilter ref="A3:M23" xr:uid="{00000000-0009-0000-0100-00002C000000}"/>
  <tableColumns count="13">
    <tableColumn id="1" xr3:uid="{00000000-0010-0000-2B00-000001000000}" name="Pilota"/>
    <tableColumn id="2" xr3:uid="{00000000-0010-0000-2B00-000002000000}" name="Team"/>
    <tableColumn id="3" xr3:uid="{00000000-0010-0000-2B00-000003000000}" name="G1"/>
    <tableColumn id="4" xr3:uid="{00000000-0010-0000-2B00-000004000000}" name="G2"/>
    <tableColumn id="5" xr3:uid="{00000000-0010-0000-2B00-000005000000}" name="G3"/>
    <tableColumn id="6" xr3:uid="{00000000-0010-0000-2B00-000006000000}" name="G4"/>
    <tableColumn id="7" xr3:uid="{00000000-0010-0000-2B00-000007000000}" name="G5"/>
    <tableColumn id="8" xr3:uid="{00000000-0010-0000-2B00-000008000000}" name="G6"/>
    <tableColumn id="9" xr3:uid="{00000000-0010-0000-2B00-000009000000}" name="G7"/>
    <tableColumn id="10" xr3:uid="{00000000-0010-0000-2B00-00000A000000}" name="G8"/>
    <tableColumn id="11" xr3:uid="{00000000-0010-0000-2B00-00000B000000}" name="G9"/>
    <tableColumn id="12" xr3:uid="{00000000-0010-0000-2B00-00000C000000}" name="G10"/>
    <tableColumn id="13" xr3:uid="{00000000-0010-0000-2B00-00000D000000}" name="Totale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Drivers_1994" displayName="Drivers_1994" ref="A3:M23">
  <autoFilter ref="A3:M23" xr:uid="{00000000-0009-0000-0100-00002D000000}"/>
  <tableColumns count="13">
    <tableColumn id="1" xr3:uid="{00000000-0010-0000-2C00-000001000000}" name="Pilota"/>
    <tableColumn id="2" xr3:uid="{00000000-0010-0000-2C00-000002000000}" name="Team"/>
    <tableColumn id="3" xr3:uid="{00000000-0010-0000-2C00-000003000000}" name="G1"/>
    <tableColumn id="4" xr3:uid="{00000000-0010-0000-2C00-000004000000}" name="G2"/>
    <tableColumn id="5" xr3:uid="{00000000-0010-0000-2C00-000005000000}" name="G3"/>
    <tableColumn id="6" xr3:uid="{00000000-0010-0000-2C00-000006000000}" name="G4"/>
    <tableColumn id="7" xr3:uid="{00000000-0010-0000-2C00-000007000000}" name="G5"/>
    <tableColumn id="8" xr3:uid="{00000000-0010-0000-2C00-000008000000}" name="G6"/>
    <tableColumn id="9" xr3:uid="{00000000-0010-0000-2C00-000009000000}" name="G7"/>
    <tableColumn id="10" xr3:uid="{00000000-0010-0000-2C00-00000A000000}" name="G8"/>
    <tableColumn id="11" xr3:uid="{00000000-0010-0000-2C00-00000B000000}" name="G9"/>
    <tableColumn id="12" xr3:uid="{00000000-0010-0000-2C00-00000C000000}" name="G10"/>
    <tableColumn id="13" xr3:uid="{00000000-0010-0000-2C00-00000D000000}" name="Total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Drivers_1995" displayName="Drivers_1995" ref="A3:M23">
  <autoFilter ref="A3:M23" xr:uid="{00000000-0009-0000-0100-00002E000000}"/>
  <tableColumns count="13">
    <tableColumn id="1" xr3:uid="{00000000-0010-0000-2D00-000001000000}" name="Pilota"/>
    <tableColumn id="2" xr3:uid="{00000000-0010-0000-2D00-000002000000}" name="Team"/>
    <tableColumn id="3" xr3:uid="{00000000-0010-0000-2D00-000003000000}" name="G1"/>
    <tableColumn id="4" xr3:uid="{00000000-0010-0000-2D00-000004000000}" name="G2"/>
    <tableColumn id="5" xr3:uid="{00000000-0010-0000-2D00-000005000000}" name="G3"/>
    <tableColumn id="6" xr3:uid="{00000000-0010-0000-2D00-000006000000}" name="G4"/>
    <tableColumn id="7" xr3:uid="{00000000-0010-0000-2D00-000007000000}" name="G5"/>
    <tableColumn id="8" xr3:uid="{00000000-0010-0000-2D00-000008000000}" name="G6"/>
    <tableColumn id="9" xr3:uid="{00000000-0010-0000-2D00-000009000000}" name="G7"/>
    <tableColumn id="10" xr3:uid="{00000000-0010-0000-2D00-00000A000000}" name="G8"/>
    <tableColumn id="11" xr3:uid="{00000000-0010-0000-2D00-00000B000000}" name="G9"/>
    <tableColumn id="12" xr3:uid="{00000000-0010-0000-2D00-00000C000000}" name="G10"/>
    <tableColumn id="13" xr3:uid="{00000000-0010-0000-2D00-00000D000000}" name="Totale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Drivers_1996" displayName="Drivers_1996" ref="A3:M23">
  <autoFilter ref="A3:M23" xr:uid="{00000000-0009-0000-0100-00002F000000}"/>
  <tableColumns count="13">
    <tableColumn id="1" xr3:uid="{00000000-0010-0000-2E00-000001000000}" name="Pilota"/>
    <tableColumn id="2" xr3:uid="{00000000-0010-0000-2E00-000002000000}" name="Team"/>
    <tableColumn id="3" xr3:uid="{00000000-0010-0000-2E00-000003000000}" name="G1"/>
    <tableColumn id="4" xr3:uid="{00000000-0010-0000-2E00-000004000000}" name="G2"/>
    <tableColumn id="5" xr3:uid="{00000000-0010-0000-2E00-000005000000}" name="G3"/>
    <tableColumn id="6" xr3:uid="{00000000-0010-0000-2E00-000006000000}" name="G4"/>
    <tableColumn id="7" xr3:uid="{00000000-0010-0000-2E00-000007000000}" name="G5"/>
    <tableColumn id="8" xr3:uid="{00000000-0010-0000-2E00-000008000000}" name="G6"/>
    <tableColumn id="9" xr3:uid="{00000000-0010-0000-2E00-000009000000}" name="G7"/>
    <tableColumn id="10" xr3:uid="{00000000-0010-0000-2E00-00000A000000}" name="G8"/>
    <tableColumn id="11" xr3:uid="{00000000-0010-0000-2E00-00000B000000}" name="G9"/>
    <tableColumn id="12" xr3:uid="{00000000-0010-0000-2E00-00000C000000}" name="G10"/>
    <tableColumn id="13" xr3:uid="{00000000-0010-0000-2E00-00000D000000}" name="Totale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Drivers_1997" displayName="Drivers_1997" ref="A3:M23">
  <autoFilter ref="A3:M23" xr:uid="{00000000-0009-0000-0100-000030000000}"/>
  <tableColumns count="13">
    <tableColumn id="1" xr3:uid="{00000000-0010-0000-2F00-000001000000}" name="Pilota"/>
    <tableColumn id="2" xr3:uid="{00000000-0010-0000-2F00-000002000000}" name="Team"/>
    <tableColumn id="3" xr3:uid="{00000000-0010-0000-2F00-000003000000}" name="G1"/>
    <tableColumn id="4" xr3:uid="{00000000-0010-0000-2F00-000004000000}" name="G2"/>
    <tableColumn id="5" xr3:uid="{00000000-0010-0000-2F00-000005000000}" name="G3"/>
    <tableColumn id="6" xr3:uid="{00000000-0010-0000-2F00-000006000000}" name="G4"/>
    <tableColumn id="7" xr3:uid="{00000000-0010-0000-2F00-000007000000}" name="G5"/>
    <tableColumn id="8" xr3:uid="{00000000-0010-0000-2F00-000008000000}" name="G6"/>
    <tableColumn id="9" xr3:uid="{00000000-0010-0000-2F00-000009000000}" name="G7"/>
    <tableColumn id="10" xr3:uid="{00000000-0010-0000-2F00-00000A000000}" name="G8"/>
    <tableColumn id="11" xr3:uid="{00000000-0010-0000-2F00-00000B000000}" name="G9"/>
    <tableColumn id="12" xr3:uid="{00000000-0010-0000-2F00-00000C000000}" name="G10"/>
    <tableColumn id="13" xr3:uid="{00000000-0010-0000-2F00-00000D000000}" name="Totale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Drivers_1998" displayName="Drivers_1998" ref="A3:M23">
  <autoFilter ref="A3:M23" xr:uid="{00000000-0009-0000-0100-000031000000}"/>
  <tableColumns count="13">
    <tableColumn id="1" xr3:uid="{00000000-0010-0000-3000-000001000000}" name="Pilota"/>
    <tableColumn id="2" xr3:uid="{00000000-0010-0000-3000-000002000000}" name="Team"/>
    <tableColumn id="3" xr3:uid="{00000000-0010-0000-3000-000003000000}" name="G1"/>
    <tableColumn id="4" xr3:uid="{00000000-0010-0000-3000-000004000000}" name="G2"/>
    <tableColumn id="5" xr3:uid="{00000000-0010-0000-3000-000005000000}" name="G3"/>
    <tableColumn id="6" xr3:uid="{00000000-0010-0000-3000-000006000000}" name="G4"/>
    <tableColumn id="7" xr3:uid="{00000000-0010-0000-3000-000007000000}" name="G5"/>
    <tableColumn id="8" xr3:uid="{00000000-0010-0000-3000-000008000000}" name="G6"/>
    <tableColumn id="9" xr3:uid="{00000000-0010-0000-3000-000009000000}" name="G7"/>
    <tableColumn id="10" xr3:uid="{00000000-0010-0000-3000-00000A000000}" name="G8"/>
    <tableColumn id="11" xr3:uid="{00000000-0010-0000-3000-00000B000000}" name="G9"/>
    <tableColumn id="12" xr3:uid="{00000000-0010-0000-3000-00000C000000}" name="G10"/>
    <tableColumn id="13" xr3:uid="{00000000-0010-0000-3000-00000D000000}" name="Totale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Drivers_1999" displayName="Drivers_1999" ref="A3:M23">
  <autoFilter ref="A3:M23" xr:uid="{00000000-0009-0000-0100-000032000000}"/>
  <tableColumns count="13">
    <tableColumn id="1" xr3:uid="{00000000-0010-0000-3100-000001000000}" name="Pilota"/>
    <tableColumn id="2" xr3:uid="{00000000-0010-0000-3100-000002000000}" name="Team"/>
    <tableColumn id="3" xr3:uid="{00000000-0010-0000-3100-000003000000}" name="G1"/>
    <tableColumn id="4" xr3:uid="{00000000-0010-0000-3100-000004000000}" name="G2"/>
    <tableColumn id="5" xr3:uid="{00000000-0010-0000-3100-000005000000}" name="G3"/>
    <tableColumn id="6" xr3:uid="{00000000-0010-0000-3100-000006000000}" name="G4"/>
    <tableColumn id="7" xr3:uid="{00000000-0010-0000-3100-000007000000}" name="G5"/>
    <tableColumn id="8" xr3:uid="{00000000-0010-0000-3100-000008000000}" name="G6"/>
    <tableColumn id="9" xr3:uid="{00000000-0010-0000-3100-000009000000}" name="G7"/>
    <tableColumn id="10" xr3:uid="{00000000-0010-0000-3100-00000A000000}" name="G8"/>
    <tableColumn id="11" xr3:uid="{00000000-0010-0000-3100-00000B000000}" name="G9"/>
    <tableColumn id="12" xr3:uid="{00000000-0010-0000-3100-00000C000000}" name="G10"/>
    <tableColumn id="13" xr3:uid="{00000000-0010-0000-3100-00000D000000}" name="Totale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Drivers_2000" displayName="Drivers_2000" ref="A3:M23">
  <autoFilter ref="A3:M23" xr:uid="{00000000-0009-0000-0100-000033000000}"/>
  <tableColumns count="13">
    <tableColumn id="1" xr3:uid="{00000000-0010-0000-3200-000001000000}" name="Pilota"/>
    <tableColumn id="2" xr3:uid="{00000000-0010-0000-3200-000002000000}" name="Team"/>
    <tableColumn id="3" xr3:uid="{00000000-0010-0000-3200-000003000000}" name="G1"/>
    <tableColumn id="4" xr3:uid="{00000000-0010-0000-3200-000004000000}" name="G2"/>
    <tableColumn id="5" xr3:uid="{00000000-0010-0000-3200-000005000000}" name="G3"/>
    <tableColumn id="6" xr3:uid="{00000000-0010-0000-3200-000006000000}" name="G4"/>
    <tableColumn id="7" xr3:uid="{00000000-0010-0000-3200-000007000000}" name="G5"/>
    <tableColumn id="8" xr3:uid="{00000000-0010-0000-3200-000008000000}" name="G6"/>
    <tableColumn id="9" xr3:uid="{00000000-0010-0000-3200-000009000000}" name="G7"/>
    <tableColumn id="10" xr3:uid="{00000000-0010-0000-3200-00000A000000}" name="G8"/>
    <tableColumn id="11" xr3:uid="{00000000-0010-0000-3200-00000B000000}" name="G9"/>
    <tableColumn id="12" xr3:uid="{00000000-0010-0000-3200-00000C000000}" name="G10"/>
    <tableColumn id="13" xr3:uid="{00000000-0010-0000-3200-00000D000000}" name="Totale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Drivers_2001" displayName="Drivers_2001" ref="A3:M23">
  <autoFilter ref="A3:M23" xr:uid="{00000000-0009-0000-0100-000034000000}"/>
  <tableColumns count="13">
    <tableColumn id="1" xr3:uid="{00000000-0010-0000-3300-000001000000}" name="Pilota"/>
    <tableColumn id="2" xr3:uid="{00000000-0010-0000-3300-000002000000}" name="Team"/>
    <tableColumn id="3" xr3:uid="{00000000-0010-0000-3300-000003000000}" name="G1"/>
    <tableColumn id="4" xr3:uid="{00000000-0010-0000-3300-000004000000}" name="G2"/>
    <tableColumn id="5" xr3:uid="{00000000-0010-0000-3300-000005000000}" name="G3"/>
    <tableColumn id="6" xr3:uid="{00000000-0010-0000-3300-000006000000}" name="G4"/>
    <tableColumn id="7" xr3:uid="{00000000-0010-0000-3300-000007000000}" name="G5"/>
    <tableColumn id="8" xr3:uid="{00000000-0010-0000-3300-000008000000}" name="G6"/>
    <tableColumn id="9" xr3:uid="{00000000-0010-0000-3300-000009000000}" name="G7"/>
    <tableColumn id="10" xr3:uid="{00000000-0010-0000-3300-00000A000000}" name="G8"/>
    <tableColumn id="11" xr3:uid="{00000000-0010-0000-3300-00000B000000}" name="G9"/>
    <tableColumn id="12" xr3:uid="{00000000-0010-0000-3300-00000C000000}" name="G10"/>
    <tableColumn id="13" xr3:uid="{00000000-0010-0000-3300-00000D000000}" name="Totale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Drivers_2002" displayName="Drivers_2002" ref="A3:M23">
  <autoFilter ref="A3:M23" xr:uid="{00000000-0009-0000-0100-000035000000}"/>
  <tableColumns count="13">
    <tableColumn id="1" xr3:uid="{00000000-0010-0000-3400-000001000000}" name="Pilota"/>
    <tableColumn id="2" xr3:uid="{00000000-0010-0000-3400-000002000000}" name="Team"/>
    <tableColumn id="3" xr3:uid="{00000000-0010-0000-3400-000003000000}" name="G1"/>
    <tableColumn id="4" xr3:uid="{00000000-0010-0000-3400-000004000000}" name="G2"/>
    <tableColumn id="5" xr3:uid="{00000000-0010-0000-3400-000005000000}" name="G3"/>
    <tableColumn id="6" xr3:uid="{00000000-0010-0000-3400-000006000000}" name="G4"/>
    <tableColumn id="7" xr3:uid="{00000000-0010-0000-3400-000007000000}" name="G5"/>
    <tableColumn id="8" xr3:uid="{00000000-0010-0000-3400-000008000000}" name="G6"/>
    <tableColumn id="9" xr3:uid="{00000000-0010-0000-3400-000009000000}" name="G7"/>
    <tableColumn id="10" xr3:uid="{00000000-0010-0000-3400-00000A000000}" name="G8"/>
    <tableColumn id="11" xr3:uid="{00000000-0010-0000-3400-00000B000000}" name="G9"/>
    <tableColumn id="12" xr3:uid="{00000000-0010-0000-3400-00000C000000}" name="G10"/>
    <tableColumn id="13" xr3:uid="{00000000-0010-0000-3400-00000D000000}" name="Totale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rivers_2003" displayName="Drivers_2003" ref="A3:M23">
  <autoFilter ref="A3:M23" xr:uid="{00000000-0009-0000-0100-000036000000}"/>
  <tableColumns count="13">
    <tableColumn id="1" xr3:uid="{00000000-0010-0000-3500-000001000000}" name="Pilota"/>
    <tableColumn id="2" xr3:uid="{00000000-0010-0000-3500-000002000000}" name="Team"/>
    <tableColumn id="3" xr3:uid="{00000000-0010-0000-3500-000003000000}" name="G1"/>
    <tableColumn id="4" xr3:uid="{00000000-0010-0000-3500-000004000000}" name="G2"/>
    <tableColumn id="5" xr3:uid="{00000000-0010-0000-3500-000005000000}" name="G3"/>
    <tableColumn id="6" xr3:uid="{00000000-0010-0000-3500-000006000000}" name="G4"/>
    <tableColumn id="7" xr3:uid="{00000000-0010-0000-3500-000007000000}" name="G5"/>
    <tableColumn id="8" xr3:uid="{00000000-0010-0000-3500-000008000000}" name="G6"/>
    <tableColumn id="9" xr3:uid="{00000000-0010-0000-3500-000009000000}" name="G7"/>
    <tableColumn id="10" xr3:uid="{00000000-0010-0000-3500-00000A000000}" name="G8"/>
    <tableColumn id="11" xr3:uid="{00000000-0010-0000-3500-00000B000000}" name="G9"/>
    <tableColumn id="12" xr3:uid="{00000000-0010-0000-3500-00000C000000}" name="G10"/>
    <tableColumn id="13" xr3:uid="{00000000-0010-0000-3500-00000D000000}" name="Totale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rivers_2004" displayName="Drivers_2004" ref="A3:M23">
  <autoFilter ref="A3:M23" xr:uid="{00000000-0009-0000-0100-000037000000}"/>
  <tableColumns count="13">
    <tableColumn id="1" xr3:uid="{00000000-0010-0000-3600-000001000000}" name="Pilota"/>
    <tableColumn id="2" xr3:uid="{00000000-0010-0000-3600-000002000000}" name="Team"/>
    <tableColumn id="3" xr3:uid="{00000000-0010-0000-3600-000003000000}" name="G1"/>
    <tableColumn id="4" xr3:uid="{00000000-0010-0000-3600-000004000000}" name="G2"/>
    <tableColumn id="5" xr3:uid="{00000000-0010-0000-3600-000005000000}" name="G3"/>
    <tableColumn id="6" xr3:uid="{00000000-0010-0000-3600-000006000000}" name="G4"/>
    <tableColumn id="7" xr3:uid="{00000000-0010-0000-3600-000007000000}" name="G5"/>
    <tableColumn id="8" xr3:uid="{00000000-0010-0000-3600-000008000000}" name="G6"/>
    <tableColumn id="9" xr3:uid="{00000000-0010-0000-3600-000009000000}" name="G7"/>
    <tableColumn id="10" xr3:uid="{00000000-0010-0000-3600-00000A000000}" name="G8"/>
    <tableColumn id="11" xr3:uid="{00000000-0010-0000-3600-00000B000000}" name="G9"/>
    <tableColumn id="12" xr3:uid="{00000000-0010-0000-3600-00000C000000}" name="G10"/>
    <tableColumn id="13" xr3:uid="{00000000-0010-0000-3600-00000D000000}" name="Totale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rivers_2005" displayName="Drivers_2005" ref="A3:M23">
  <autoFilter ref="A3:M23" xr:uid="{00000000-0009-0000-0100-000038000000}"/>
  <tableColumns count="13">
    <tableColumn id="1" xr3:uid="{00000000-0010-0000-3700-000001000000}" name="Pilota"/>
    <tableColumn id="2" xr3:uid="{00000000-0010-0000-3700-000002000000}" name="Team"/>
    <tableColumn id="3" xr3:uid="{00000000-0010-0000-3700-000003000000}" name="G1"/>
    <tableColumn id="4" xr3:uid="{00000000-0010-0000-3700-000004000000}" name="G2"/>
    <tableColumn id="5" xr3:uid="{00000000-0010-0000-3700-000005000000}" name="G3"/>
    <tableColumn id="6" xr3:uid="{00000000-0010-0000-3700-000006000000}" name="G4"/>
    <tableColumn id="7" xr3:uid="{00000000-0010-0000-3700-000007000000}" name="G5"/>
    <tableColumn id="8" xr3:uid="{00000000-0010-0000-3700-000008000000}" name="G6"/>
    <tableColumn id="9" xr3:uid="{00000000-0010-0000-3700-000009000000}" name="G7"/>
    <tableColumn id="10" xr3:uid="{00000000-0010-0000-3700-00000A000000}" name="G8"/>
    <tableColumn id="11" xr3:uid="{00000000-0010-0000-3700-00000B000000}" name="G9"/>
    <tableColumn id="12" xr3:uid="{00000000-0010-0000-3700-00000C000000}" name="G10"/>
    <tableColumn id="13" xr3:uid="{00000000-0010-0000-3700-00000D000000}" name="Totale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rivers_2006" displayName="Drivers_2006" ref="A3:M23">
  <autoFilter ref="A3:M23" xr:uid="{00000000-0009-0000-0100-000039000000}"/>
  <tableColumns count="13">
    <tableColumn id="1" xr3:uid="{00000000-0010-0000-3800-000001000000}" name="Pilota"/>
    <tableColumn id="2" xr3:uid="{00000000-0010-0000-3800-000002000000}" name="Team"/>
    <tableColumn id="3" xr3:uid="{00000000-0010-0000-3800-000003000000}" name="G1"/>
    <tableColumn id="4" xr3:uid="{00000000-0010-0000-3800-000004000000}" name="G2"/>
    <tableColumn id="5" xr3:uid="{00000000-0010-0000-3800-000005000000}" name="G3"/>
    <tableColumn id="6" xr3:uid="{00000000-0010-0000-3800-000006000000}" name="G4"/>
    <tableColumn id="7" xr3:uid="{00000000-0010-0000-3800-000007000000}" name="G5"/>
    <tableColumn id="8" xr3:uid="{00000000-0010-0000-3800-000008000000}" name="G6"/>
    <tableColumn id="9" xr3:uid="{00000000-0010-0000-3800-000009000000}" name="G7"/>
    <tableColumn id="10" xr3:uid="{00000000-0010-0000-3800-00000A000000}" name="G8"/>
    <tableColumn id="11" xr3:uid="{00000000-0010-0000-3800-00000B000000}" name="G9"/>
    <tableColumn id="12" xr3:uid="{00000000-0010-0000-3800-00000C000000}" name="G10"/>
    <tableColumn id="13" xr3:uid="{00000000-0010-0000-3800-00000D000000}" name="Totale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rivers_2007" displayName="Drivers_2007" ref="A3:M23">
  <autoFilter ref="A3:M23" xr:uid="{00000000-0009-0000-0100-00003A000000}"/>
  <tableColumns count="13">
    <tableColumn id="1" xr3:uid="{00000000-0010-0000-3900-000001000000}" name="Pilota"/>
    <tableColumn id="2" xr3:uid="{00000000-0010-0000-3900-000002000000}" name="Team"/>
    <tableColumn id="3" xr3:uid="{00000000-0010-0000-3900-000003000000}" name="G1"/>
    <tableColumn id="4" xr3:uid="{00000000-0010-0000-3900-000004000000}" name="G2"/>
    <tableColumn id="5" xr3:uid="{00000000-0010-0000-3900-000005000000}" name="G3"/>
    <tableColumn id="6" xr3:uid="{00000000-0010-0000-3900-000006000000}" name="G4"/>
    <tableColumn id="7" xr3:uid="{00000000-0010-0000-3900-000007000000}" name="G5"/>
    <tableColumn id="8" xr3:uid="{00000000-0010-0000-3900-000008000000}" name="G6"/>
    <tableColumn id="9" xr3:uid="{00000000-0010-0000-3900-000009000000}" name="G7"/>
    <tableColumn id="10" xr3:uid="{00000000-0010-0000-3900-00000A000000}" name="G8"/>
    <tableColumn id="11" xr3:uid="{00000000-0010-0000-3900-00000B000000}" name="G9"/>
    <tableColumn id="12" xr3:uid="{00000000-0010-0000-3900-00000C000000}" name="G10"/>
    <tableColumn id="13" xr3:uid="{00000000-0010-0000-3900-00000D000000}" name="Totale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rivers_2008" displayName="Drivers_2008" ref="A3:M23">
  <autoFilter ref="A3:M23" xr:uid="{00000000-0009-0000-0100-00003B000000}"/>
  <tableColumns count="13">
    <tableColumn id="1" xr3:uid="{00000000-0010-0000-3A00-000001000000}" name="Pilota"/>
    <tableColumn id="2" xr3:uid="{00000000-0010-0000-3A00-000002000000}" name="Team"/>
    <tableColumn id="3" xr3:uid="{00000000-0010-0000-3A00-000003000000}" name="G1"/>
    <tableColumn id="4" xr3:uid="{00000000-0010-0000-3A00-000004000000}" name="G2"/>
    <tableColumn id="5" xr3:uid="{00000000-0010-0000-3A00-000005000000}" name="G3"/>
    <tableColumn id="6" xr3:uid="{00000000-0010-0000-3A00-000006000000}" name="G4"/>
    <tableColumn id="7" xr3:uid="{00000000-0010-0000-3A00-000007000000}" name="G5"/>
    <tableColumn id="8" xr3:uid="{00000000-0010-0000-3A00-000008000000}" name="G6"/>
    <tableColumn id="9" xr3:uid="{00000000-0010-0000-3A00-000009000000}" name="G7"/>
    <tableColumn id="10" xr3:uid="{00000000-0010-0000-3A00-00000A000000}" name="G8"/>
    <tableColumn id="11" xr3:uid="{00000000-0010-0000-3A00-00000B000000}" name="G9"/>
    <tableColumn id="12" xr3:uid="{00000000-0010-0000-3A00-00000C000000}" name="G10"/>
    <tableColumn id="13" xr3:uid="{00000000-0010-0000-3A00-00000D000000}" name="Totale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rivers_2009" displayName="Drivers_2009" ref="A3:M23">
  <autoFilter ref="A3:M23" xr:uid="{00000000-0009-0000-0100-00003C000000}"/>
  <tableColumns count="13">
    <tableColumn id="1" xr3:uid="{00000000-0010-0000-3B00-000001000000}" name="Pilota"/>
    <tableColumn id="2" xr3:uid="{00000000-0010-0000-3B00-000002000000}" name="Team"/>
    <tableColumn id="3" xr3:uid="{00000000-0010-0000-3B00-000003000000}" name="G1"/>
    <tableColumn id="4" xr3:uid="{00000000-0010-0000-3B00-000004000000}" name="G2"/>
    <tableColumn id="5" xr3:uid="{00000000-0010-0000-3B00-000005000000}" name="G3"/>
    <tableColumn id="6" xr3:uid="{00000000-0010-0000-3B00-000006000000}" name="G4"/>
    <tableColumn id="7" xr3:uid="{00000000-0010-0000-3B00-000007000000}" name="G5"/>
    <tableColumn id="8" xr3:uid="{00000000-0010-0000-3B00-000008000000}" name="G6"/>
    <tableColumn id="9" xr3:uid="{00000000-0010-0000-3B00-000009000000}" name="G7"/>
    <tableColumn id="10" xr3:uid="{00000000-0010-0000-3B00-00000A000000}" name="G8"/>
    <tableColumn id="11" xr3:uid="{00000000-0010-0000-3B00-00000B000000}" name="G9"/>
    <tableColumn id="12" xr3:uid="{00000000-0010-0000-3B00-00000C000000}" name="G10"/>
    <tableColumn id="13" xr3:uid="{00000000-0010-0000-3B00-00000D000000}" name="Totale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Drivers_2010" displayName="Drivers_2010" ref="A3:M23">
  <autoFilter ref="A3:M23" xr:uid="{00000000-0009-0000-0100-00003D000000}"/>
  <tableColumns count="13">
    <tableColumn id="1" xr3:uid="{00000000-0010-0000-3C00-000001000000}" name="Pilota"/>
    <tableColumn id="2" xr3:uid="{00000000-0010-0000-3C00-000002000000}" name="Team"/>
    <tableColumn id="3" xr3:uid="{00000000-0010-0000-3C00-000003000000}" name="G1"/>
    <tableColumn id="4" xr3:uid="{00000000-0010-0000-3C00-000004000000}" name="G2"/>
    <tableColumn id="5" xr3:uid="{00000000-0010-0000-3C00-000005000000}" name="G3"/>
    <tableColumn id="6" xr3:uid="{00000000-0010-0000-3C00-000006000000}" name="G4"/>
    <tableColumn id="7" xr3:uid="{00000000-0010-0000-3C00-000007000000}" name="G5"/>
    <tableColumn id="8" xr3:uid="{00000000-0010-0000-3C00-000008000000}" name="G6"/>
    <tableColumn id="9" xr3:uid="{00000000-0010-0000-3C00-000009000000}" name="G7"/>
    <tableColumn id="10" xr3:uid="{00000000-0010-0000-3C00-00000A000000}" name="G8"/>
    <tableColumn id="11" xr3:uid="{00000000-0010-0000-3C00-00000B000000}" name="G9"/>
    <tableColumn id="12" xr3:uid="{00000000-0010-0000-3C00-00000C000000}" name="G10"/>
    <tableColumn id="13" xr3:uid="{00000000-0010-0000-3C00-00000D000000}" name="Totale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Drivers_2011" displayName="Drivers_2011" ref="A3:M23">
  <autoFilter ref="A3:M23" xr:uid="{00000000-0009-0000-0100-00003E000000}"/>
  <tableColumns count="13">
    <tableColumn id="1" xr3:uid="{00000000-0010-0000-3D00-000001000000}" name="Pilota"/>
    <tableColumn id="2" xr3:uid="{00000000-0010-0000-3D00-000002000000}" name="Team"/>
    <tableColumn id="3" xr3:uid="{00000000-0010-0000-3D00-000003000000}" name="G1"/>
    <tableColumn id="4" xr3:uid="{00000000-0010-0000-3D00-000004000000}" name="G2"/>
    <tableColumn id="5" xr3:uid="{00000000-0010-0000-3D00-000005000000}" name="G3"/>
    <tableColumn id="6" xr3:uid="{00000000-0010-0000-3D00-000006000000}" name="G4"/>
    <tableColumn id="7" xr3:uid="{00000000-0010-0000-3D00-000007000000}" name="G5"/>
    <tableColumn id="8" xr3:uid="{00000000-0010-0000-3D00-000008000000}" name="G6"/>
    <tableColumn id="9" xr3:uid="{00000000-0010-0000-3D00-000009000000}" name="G7"/>
    <tableColumn id="10" xr3:uid="{00000000-0010-0000-3D00-00000A000000}" name="G8"/>
    <tableColumn id="11" xr3:uid="{00000000-0010-0000-3D00-00000B000000}" name="G9"/>
    <tableColumn id="12" xr3:uid="{00000000-0010-0000-3D00-00000C000000}" name="G10"/>
    <tableColumn id="13" xr3:uid="{00000000-0010-0000-3D00-00000D000000}" name="Totale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Drivers_2012" displayName="Drivers_2012" ref="A3:M23">
  <autoFilter ref="A3:M23" xr:uid="{00000000-0009-0000-0100-00003F000000}"/>
  <tableColumns count="13">
    <tableColumn id="1" xr3:uid="{00000000-0010-0000-3E00-000001000000}" name="Pilota"/>
    <tableColumn id="2" xr3:uid="{00000000-0010-0000-3E00-000002000000}" name="Team"/>
    <tableColumn id="3" xr3:uid="{00000000-0010-0000-3E00-000003000000}" name="G1"/>
    <tableColumn id="4" xr3:uid="{00000000-0010-0000-3E00-000004000000}" name="G2"/>
    <tableColumn id="5" xr3:uid="{00000000-0010-0000-3E00-000005000000}" name="G3"/>
    <tableColumn id="6" xr3:uid="{00000000-0010-0000-3E00-000006000000}" name="G4"/>
    <tableColumn id="7" xr3:uid="{00000000-0010-0000-3E00-000007000000}" name="G5"/>
    <tableColumn id="8" xr3:uid="{00000000-0010-0000-3E00-000008000000}" name="G6"/>
    <tableColumn id="9" xr3:uid="{00000000-0010-0000-3E00-000009000000}" name="G7"/>
    <tableColumn id="10" xr3:uid="{00000000-0010-0000-3E00-00000A000000}" name="G8"/>
    <tableColumn id="11" xr3:uid="{00000000-0010-0000-3E00-00000B000000}" name="G9"/>
    <tableColumn id="12" xr3:uid="{00000000-0010-0000-3E00-00000C000000}" name="G10"/>
    <tableColumn id="13" xr3:uid="{00000000-0010-0000-3E00-00000D000000}" name="Totale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Drivers_2013" displayName="Drivers_2013" ref="A3:M23">
  <autoFilter ref="A3:M23" xr:uid="{00000000-0009-0000-0100-000040000000}"/>
  <tableColumns count="13">
    <tableColumn id="1" xr3:uid="{00000000-0010-0000-3F00-000001000000}" name="Pilota"/>
    <tableColumn id="2" xr3:uid="{00000000-0010-0000-3F00-000002000000}" name="Team"/>
    <tableColumn id="3" xr3:uid="{00000000-0010-0000-3F00-000003000000}" name="G1"/>
    <tableColumn id="4" xr3:uid="{00000000-0010-0000-3F00-000004000000}" name="G2"/>
    <tableColumn id="5" xr3:uid="{00000000-0010-0000-3F00-000005000000}" name="G3"/>
    <tableColumn id="6" xr3:uid="{00000000-0010-0000-3F00-000006000000}" name="G4"/>
    <tableColumn id="7" xr3:uid="{00000000-0010-0000-3F00-000007000000}" name="G5"/>
    <tableColumn id="8" xr3:uid="{00000000-0010-0000-3F00-000008000000}" name="G6"/>
    <tableColumn id="9" xr3:uid="{00000000-0010-0000-3F00-000009000000}" name="G7"/>
    <tableColumn id="10" xr3:uid="{00000000-0010-0000-3F00-00000A000000}" name="G8"/>
    <tableColumn id="11" xr3:uid="{00000000-0010-0000-3F00-00000B000000}" name="G9"/>
    <tableColumn id="12" xr3:uid="{00000000-0010-0000-3F00-00000C000000}" name="G10"/>
    <tableColumn id="13" xr3:uid="{00000000-0010-0000-3F00-00000D000000}" name="Totale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Drivers_2014" displayName="Drivers_2014" ref="A3:M23">
  <autoFilter ref="A3:M23" xr:uid="{00000000-0009-0000-0100-000041000000}"/>
  <tableColumns count="13">
    <tableColumn id="1" xr3:uid="{00000000-0010-0000-4000-000001000000}" name="Pilota"/>
    <tableColumn id="2" xr3:uid="{00000000-0010-0000-4000-000002000000}" name="Team"/>
    <tableColumn id="3" xr3:uid="{00000000-0010-0000-4000-000003000000}" name="G1"/>
    <tableColumn id="4" xr3:uid="{00000000-0010-0000-4000-000004000000}" name="G2"/>
    <tableColumn id="5" xr3:uid="{00000000-0010-0000-4000-000005000000}" name="G3"/>
    <tableColumn id="6" xr3:uid="{00000000-0010-0000-4000-000006000000}" name="G4"/>
    <tableColumn id="7" xr3:uid="{00000000-0010-0000-4000-000007000000}" name="G5"/>
    <tableColumn id="8" xr3:uid="{00000000-0010-0000-4000-000008000000}" name="G6"/>
    <tableColumn id="9" xr3:uid="{00000000-0010-0000-4000-000009000000}" name="G7"/>
    <tableColumn id="10" xr3:uid="{00000000-0010-0000-4000-00000A000000}" name="G8"/>
    <tableColumn id="11" xr3:uid="{00000000-0010-0000-4000-00000B000000}" name="G9"/>
    <tableColumn id="12" xr3:uid="{00000000-0010-0000-4000-00000C000000}" name="G10"/>
    <tableColumn id="13" xr3:uid="{00000000-0010-0000-4000-00000D000000}" name="Totale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Drivers_2015" displayName="Drivers_2015" ref="A3:M23">
  <autoFilter ref="A3:M23" xr:uid="{00000000-0009-0000-0100-000042000000}"/>
  <tableColumns count="13">
    <tableColumn id="1" xr3:uid="{00000000-0010-0000-4100-000001000000}" name="Pilota"/>
    <tableColumn id="2" xr3:uid="{00000000-0010-0000-4100-000002000000}" name="Team"/>
    <tableColumn id="3" xr3:uid="{00000000-0010-0000-4100-000003000000}" name="G1"/>
    <tableColumn id="4" xr3:uid="{00000000-0010-0000-4100-000004000000}" name="G2"/>
    <tableColumn id="5" xr3:uid="{00000000-0010-0000-4100-000005000000}" name="G3"/>
    <tableColumn id="6" xr3:uid="{00000000-0010-0000-4100-000006000000}" name="G4"/>
    <tableColumn id="7" xr3:uid="{00000000-0010-0000-4100-000007000000}" name="G5"/>
    <tableColumn id="8" xr3:uid="{00000000-0010-0000-4100-000008000000}" name="G6"/>
    <tableColumn id="9" xr3:uid="{00000000-0010-0000-4100-000009000000}" name="G7"/>
    <tableColumn id="10" xr3:uid="{00000000-0010-0000-4100-00000A000000}" name="G8"/>
    <tableColumn id="11" xr3:uid="{00000000-0010-0000-4100-00000B000000}" name="G9"/>
    <tableColumn id="12" xr3:uid="{00000000-0010-0000-4100-00000C000000}" name="G10"/>
    <tableColumn id="13" xr3:uid="{00000000-0010-0000-4100-00000D000000}" name="Totale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Drivers_2016" displayName="Drivers_2016" ref="A3:M23">
  <autoFilter ref="A3:M23" xr:uid="{00000000-0009-0000-0100-000043000000}"/>
  <tableColumns count="13">
    <tableColumn id="1" xr3:uid="{00000000-0010-0000-4200-000001000000}" name="Pilota"/>
    <tableColumn id="2" xr3:uid="{00000000-0010-0000-4200-000002000000}" name="Team"/>
    <tableColumn id="3" xr3:uid="{00000000-0010-0000-4200-000003000000}" name="G1"/>
    <tableColumn id="4" xr3:uid="{00000000-0010-0000-4200-000004000000}" name="G2"/>
    <tableColumn id="5" xr3:uid="{00000000-0010-0000-4200-000005000000}" name="G3"/>
    <tableColumn id="6" xr3:uid="{00000000-0010-0000-4200-000006000000}" name="G4"/>
    <tableColumn id="7" xr3:uid="{00000000-0010-0000-4200-000007000000}" name="G5"/>
    <tableColumn id="8" xr3:uid="{00000000-0010-0000-4200-000008000000}" name="G6"/>
    <tableColumn id="9" xr3:uid="{00000000-0010-0000-4200-000009000000}" name="G7"/>
    <tableColumn id="10" xr3:uid="{00000000-0010-0000-4200-00000A000000}" name="G8"/>
    <tableColumn id="11" xr3:uid="{00000000-0010-0000-4200-00000B000000}" name="G9"/>
    <tableColumn id="12" xr3:uid="{00000000-0010-0000-4200-00000C000000}" name="G10"/>
    <tableColumn id="13" xr3:uid="{00000000-0010-0000-4200-00000D000000}" name="Totale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Drivers_2017" displayName="Drivers_2017" ref="A3:M23">
  <autoFilter ref="A3:M23" xr:uid="{00000000-0009-0000-0100-000044000000}"/>
  <tableColumns count="13">
    <tableColumn id="1" xr3:uid="{00000000-0010-0000-4300-000001000000}" name="Pilota"/>
    <tableColumn id="2" xr3:uid="{00000000-0010-0000-4300-000002000000}" name="Team"/>
    <tableColumn id="3" xr3:uid="{00000000-0010-0000-4300-000003000000}" name="G1"/>
    <tableColumn id="4" xr3:uid="{00000000-0010-0000-4300-000004000000}" name="G2"/>
    <tableColumn id="5" xr3:uid="{00000000-0010-0000-4300-000005000000}" name="G3"/>
    <tableColumn id="6" xr3:uid="{00000000-0010-0000-4300-000006000000}" name="G4"/>
    <tableColumn id="7" xr3:uid="{00000000-0010-0000-4300-000007000000}" name="G5"/>
    <tableColumn id="8" xr3:uid="{00000000-0010-0000-4300-000008000000}" name="G6"/>
    <tableColumn id="9" xr3:uid="{00000000-0010-0000-4300-000009000000}" name="G7"/>
    <tableColumn id="10" xr3:uid="{00000000-0010-0000-4300-00000A000000}" name="G8"/>
    <tableColumn id="11" xr3:uid="{00000000-0010-0000-4300-00000B000000}" name="G9"/>
    <tableColumn id="12" xr3:uid="{00000000-0010-0000-4300-00000C000000}" name="G10"/>
    <tableColumn id="13" xr3:uid="{00000000-0010-0000-4300-00000D000000}" name="Totale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Drivers_2018" displayName="Drivers_2018" ref="A3:M23">
  <autoFilter ref="A3:M23" xr:uid="{00000000-0009-0000-0100-000045000000}"/>
  <tableColumns count="13">
    <tableColumn id="1" xr3:uid="{00000000-0010-0000-4400-000001000000}" name="Pilota"/>
    <tableColumn id="2" xr3:uid="{00000000-0010-0000-4400-000002000000}" name="Team"/>
    <tableColumn id="3" xr3:uid="{00000000-0010-0000-4400-000003000000}" name="G1"/>
    <tableColumn id="4" xr3:uid="{00000000-0010-0000-4400-000004000000}" name="G2"/>
    <tableColumn id="5" xr3:uid="{00000000-0010-0000-4400-000005000000}" name="G3"/>
    <tableColumn id="6" xr3:uid="{00000000-0010-0000-4400-000006000000}" name="G4"/>
    <tableColumn id="7" xr3:uid="{00000000-0010-0000-4400-000007000000}" name="G5"/>
    <tableColumn id="8" xr3:uid="{00000000-0010-0000-4400-000008000000}" name="G6"/>
    <tableColumn id="9" xr3:uid="{00000000-0010-0000-4400-000009000000}" name="G7"/>
    <tableColumn id="10" xr3:uid="{00000000-0010-0000-4400-00000A000000}" name="G8"/>
    <tableColumn id="11" xr3:uid="{00000000-0010-0000-4400-00000B000000}" name="G9"/>
    <tableColumn id="12" xr3:uid="{00000000-0010-0000-4400-00000C000000}" name="G10"/>
    <tableColumn id="13" xr3:uid="{00000000-0010-0000-4400-00000D000000}" name="Totale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Drivers_2019" displayName="Drivers_2019" ref="A3:M23">
  <autoFilter ref="A3:M23" xr:uid="{00000000-0009-0000-0100-000046000000}"/>
  <tableColumns count="13">
    <tableColumn id="1" xr3:uid="{00000000-0010-0000-4500-000001000000}" name="Pilota"/>
    <tableColumn id="2" xr3:uid="{00000000-0010-0000-4500-000002000000}" name="Team"/>
    <tableColumn id="3" xr3:uid="{00000000-0010-0000-4500-000003000000}" name="G1"/>
    <tableColumn id="4" xr3:uid="{00000000-0010-0000-4500-000004000000}" name="G2"/>
    <tableColumn id="5" xr3:uid="{00000000-0010-0000-4500-000005000000}" name="G3"/>
    <tableColumn id="6" xr3:uid="{00000000-0010-0000-4500-000006000000}" name="G4"/>
    <tableColumn id="7" xr3:uid="{00000000-0010-0000-4500-000007000000}" name="G5"/>
    <tableColumn id="8" xr3:uid="{00000000-0010-0000-4500-000008000000}" name="G6"/>
    <tableColumn id="9" xr3:uid="{00000000-0010-0000-4500-000009000000}" name="G7"/>
    <tableColumn id="10" xr3:uid="{00000000-0010-0000-4500-00000A000000}" name="G8"/>
    <tableColumn id="11" xr3:uid="{00000000-0010-0000-4500-00000B000000}" name="G9"/>
    <tableColumn id="12" xr3:uid="{00000000-0010-0000-4500-00000C000000}" name="G10"/>
    <tableColumn id="13" xr3:uid="{00000000-0010-0000-4500-00000D000000}" name="Totale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Drivers_2020" displayName="Drivers_2020" ref="A3:M23">
  <autoFilter ref="A3:M23" xr:uid="{00000000-0009-0000-0100-000047000000}"/>
  <tableColumns count="13">
    <tableColumn id="1" xr3:uid="{00000000-0010-0000-4600-000001000000}" name="Pilota"/>
    <tableColumn id="2" xr3:uid="{00000000-0010-0000-4600-000002000000}" name="Team"/>
    <tableColumn id="3" xr3:uid="{00000000-0010-0000-4600-000003000000}" name="G1"/>
    <tableColumn id="4" xr3:uid="{00000000-0010-0000-4600-000004000000}" name="G2"/>
    <tableColumn id="5" xr3:uid="{00000000-0010-0000-4600-000005000000}" name="G3"/>
    <tableColumn id="6" xr3:uid="{00000000-0010-0000-4600-000006000000}" name="G4"/>
    <tableColumn id="7" xr3:uid="{00000000-0010-0000-4600-000007000000}" name="G5"/>
    <tableColumn id="8" xr3:uid="{00000000-0010-0000-4600-000008000000}" name="G6"/>
    <tableColumn id="9" xr3:uid="{00000000-0010-0000-4600-000009000000}" name="G7"/>
    <tableColumn id="10" xr3:uid="{00000000-0010-0000-4600-00000A000000}" name="G8"/>
    <tableColumn id="11" xr3:uid="{00000000-0010-0000-4600-00000B000000}" name="G9"/>
    <tableColumn id="12" xr3:uid="{00000000-0010-0000-4600-00000C000000}" name="G10"/>
    <tableColumn id="13" xr3:uid="{00000000-0010-0000-4600-00000D000000}" name="Totale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Drivers_2021" displayName="Drivers_2021" ref="A3:M23">
  <autoFilter ref="A3:M23" xr:uid="{00000000-0009-0000-0100-000048000000}"/>
  <tableColumns count="13">
    <tableColumn id="1" xr3:uid="{00000000-0010-0000-4700-000001000000}" name="Pilota"/>
    <tableColumn id="2" xr3:uid="{00000000-0010-0000-4700-000002000000}" name="Team"/>
    <tableColumn id="3" xr3:uid="{00000000-0010-0000-4700-000003000000}" name="G1"/>
    <tableColumn id="4" xr3:uid="{00000000-0010-0000-4700-000004000000}" name="G2"/>
    <tableColumn id="5" xr3:uid="{00000000-0010-0000-4700-000005000000}" name="G3"/>
    <tableColumn id="6" xr3:uid="{00000000-0010-0000-4700-000006000000}" name="G4"/>
    <tableColumn id="7" xr3:uid="{00000000-0010-0000-4700-000007000000}" name="G5"/>
    <tableColumn id="8" xr3:uid="{00000000-0010-0000-4700-000008000000}" name="G6"/>
    <tableColumn id="9" xr3:uid="{00000000-0010-0000-4700-000009000000}" name="G7"/>
    <tableColumn id="10" xr3:uid="{00000000-0010-0000-4700-00000A000000}" name="G8"/>
    <tableColumn id="11" xr3:uid="{00000000-0010-0000-4700-00000B000000}" name="G9"/>
    <tableColumn id="12" xr3:uid="{00000000-0010-0000-4700-00000C000000}" name="G10"/>
    <tableColumn id="13" xr3:uid="{00000000-0010-0000-4700-00000D000000}" name="Totale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Drivers_2022" displayName="Drivers_2022" ref="A3:M23">
  <autoFilter ref="A3:M23" xr:uid="{00000000-0009-0000-0100-000049000000}"/>
  <tableColumns count="13">
    <tableColumn id="1" xr3:uid="{00000000-0010-0000-4800-000001000000}" name="Pilota"/>
    <tableColumn id="2" xr3:uid="{00000000-0010-0000-4800-000002000000}" name="Team"/>
    <tableColumn id="3" xr3:uid="{00000000-0010-0000-4800-000003000000}" name="G1"/>
    <tableColumn id="4" xr3:uid="{00000000-0010-0000-4800-000004000000}" name="G2"/>
    <tableColumn id="5" xr3:uid="{00000000-0010-0000-4800-000005000000}" name="G3"/>
    <tableColumn id="6" xr3:uid="{00000000-0010-0000-4800-000006000000}" name="G4"/>
    <tableColumn id="7" xr3:uid="{00000000-0010-0000-4800-000007000000}" name="G5"/>
    <tableColumn id="8" xr3:uid="{00000000-0010-0000-4800-000008000000}" name="G6"/>
    <tableColumn id="9" xr3:uid="{00000000-0010-0000-4800-000009000000}" name="G7"/>
    <tableColumn id="10" xr3:uid="{00000000-0010-0000-4800-00000A000000}" name="G8"/>
    <tableColumn id="11" xr3:uid="{00000000-0010-0000-4800-00000B000000}" name="G9"/>
    <tableColumn id="12" xr3:uid="{00000000-0010-0000-4800-00000C000000}" name="G10"/>
    <tableColumn id="13" xr3:uid="{00000000-0010-0000-4800-00000D000000}" name="Totale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Drivers_2023" displayName="Drivers_2023" ref="A3:M23">
  <autoFilter ref="A3:M23" xr:uid="{00000000-0009-0000-0100-00004A000000}"/>
  <tableColumns count="13">
    <tableColumn id="1" xr3:uid="{00000000-0010-0000-4900-000001000000}" name="Pilota"/>
    <tableColumn id="2" xr3:uid="{00000000-0010-0000-4900-000002000000}" name="Team"/>
    <tableColumn id="3" xr3:uid="{00000000-0010-0000-4900-000003000000}" name="G1"/>
    <tableColumn id="4" xr3:uid="{00000000-0010-0000-4900-000004000000}" name="G2"/>
    <tableColumn id="5" xr3:uid="{00000000-0010-0000-4900-000005000000}" name="G3"/>
    <tableColumn id="6" xr3:uid="{00000000-0010-0000-4900-000006000000}" name="G4"/>
    <tableColumn id="7" xr3:uid="{00000000-0010-0000-4900-000007000000}" name="G5"/>
    <tableColumn id="8" xr3:uid="{00000000-0010-0000-4900-000008000000}" name="G6"/>
    <tableColumn id="9" xr3:uid="{00000000-0010-0000-4900-000009000000}" name="G7"/>
    <tableColumn id="10" xr3:uid="{00000000-0010-0000-4900-00000A000000}" name="G8"/>
    <tableColumn id="11" xr3:uid="{00000000-0010-0000-4900-00000B000000}" name="G9"/>
    <tableColumn id="12" xr3:uid="{00000000-0010-0000-4900-00000C000000}" name="G10"/>
    <tableColumn id="13" xr3:uid="{00000000-0010-0000-4900-00000D000000}" name="Totale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Drivers_2024" displayName="Drivers_2024" ref="A3:M23">
  <autoFilter ref="A3:M23" xr:uid="{00000000-0009-0000-0100-00004B000000}"/>
  <tableColumns count="13">
    <tableColumn id="1" xr3:uid="{00000000-0010-0000-4A00-000001000000}" name="Pilota"/>
    <tableColumn id="2" xr3:uid="{00000000-0010-0000-4A00-000002000000}" name="Team"/>
    <tableColumn id="3" xr3:uid="{00000000-0010-0000-4A00-000003000000}" name="G1"/>
    <tableColumn id="4" xr3:uid="{00000000-0010-0000-4A00-000004000000}" name="G2"/>
    <tableColumn id="5" xr3:uid="{00000000-0010-0000-4A00-000005000000}" name="G3"/>
    <tableColumn id="6" xr3:uid="{00000000-0010-0000-4A00-000006000000}" name="G4"/>
    <tableColumn id="7" xr3:uid="{00000000-0010-0000-4A00-000007000000}" name="G5"/>
    <tableColumn id="8" xr3:uid="{00000000-0010-0000-4A00-000008000000}" name="G6"/>
    <tableColumn id="9" xr3:uid="{00000000-0010-0000-4A00-000009000000}" name="G7"/>
    <tableColumn id="10" xr3:uid="{00000000-0010-0000-4A00-00000A000000}" name="G8"/>
    <tableColumn id="11" xr3:uid="{00000000-0010-0000-4A00-00000B000000}" name="G9"/>
    <tableColumn id="12" xr3:uid="{00000000-0010-0000-4A00-00000C000000}" name="G10"/>
    <tableColumn id="13" xr3:uid="{00000000-0010-0000-4A00-00000D000000}" name="Totale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Drivers_2025" displayName="Drivers_2025" ref="A3:M23">
  <autoFilter ref="A3:M23" xr:uid="{00000000-0009-0000-0100-00004C000000}"/>
  <tableColumns count="13">
    <tableColumn id="1" xr3:uid="{00000000-0010-0000-4B00-000001000000}" name="Pilota"/>
    <tableColumn id="2" xr3:uid="{00000000-0010-0000-4B00-000002000000}" name="Team"/>
    <tableColumn id="3" xr3:uid="{00000000-0010-0000-4B00-000003000000}" name="G1"/>
    <tableColumn id="4" xr3:uid="{00000000-0010-0000-4B00-000004000000}" name="G2"/>
    <tableColumn id="5" xr3:uid="{00000000-0010-0000-4B00-000005000000}" name="G3"/>
    <tableColumn id="6" xr3:uid="{00000000-0010-0000-4B00-000006000000}" name="G4"/>
    <tableColumn id="7" xr3:uid="{00000000-0010-0000-4B00-000007000000}" name="G5"/>
    <tableColumn id="8" xr3:uid="{00000000-0010-0000-4B00-000008000000}" name="G6"/>
    <tableColumn id="9" xr3:uid="{00000000-0010-0000-4B00-000009000000}" name="G7"/>
    <tableColumn id="10" xr3:uid="{00000000-0010-0000-4B00-00000A000000}" name="G8"/>
    <tableColumn id="11" xr3:uid="{00000000-0010-0000-4B00-00000B000000}" name="G9"/>
    <tableColumn id="12" xr3:uid="{00000000-0010-0000-4B00-00000C000000}" name="G10"/>
    <tableColumn id="13" xr3:uid="{00000000-0010-0000-4B00-00000D000000}" name="Tota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1"/>
  <dimension ref="A1:N1048576"/>
  <sheetViews>
    <sheetView tabSelected="1" workbookViewId="0">
      <selection activeCell="B17" sqref="B17"/>
    </sheetView>
  </sheetViews>
  <sheetFormatPr defaultRowHeight="15" x14ac:dyDescent="0.25"/>
  <cols>
    <col min="2" max="2" width="18" bestFit="1" customWidth="1"/>
    <col min="3" max="3" width="20.7109375" bestFit="1" customWidth="1"/>
    <col min="4" max="4" width="16.85546875" bestFit="1" customWidth="1"/>
    <col min="8" max="8" width="18" bestFit="1" customWidth="1"/>
    <col min="9" max="9" width="11" bestFit="1" customWidth="1"/>
    <col min="10" max="10" width="41" bestFit="1" customWidth="1"/>
    <col min="12" max="12" width="20" bestFit="1" customWidth="1"/>
    <col min="13" max="13" width="11" bestFit="1" customWidth="1"/>
    <col min="14" max="14" width="19.28515625" bestFit="1" customWidth="1"/>
  </cols>
  <sheetData>
    <row r="1" spans="1:14" ht="21" x14ac:dyDescent="0.35">
      <c r="A1" s="72" t="s">
        <v>0</v>
      </c>
      <c r="B1" s="72"/>
      <c r="C1" s="72"/>
      <c r="D1" s="72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H3" s="55" t="s">
        <v>6</v>
      </c>
      <c r="I3" s="55" t="s">
        <v>233</v>
      </c>
      <c r="J3" s="55" t="s">
        <v>234</v>
      </c>
      <c r="L3" s="65" t="s">
        <v>288</v>
      </c>
      <c r="M3" s="55" t="s">
        <v>233</v>
      </c>
      <c r="N3" s="55" t="s">
        <v>234</v>
      </c>
    </row>
    <row r="4" spans="1:14" x14ac:dyDescent="0.25">
      <c r="A4" s="6">
        <v>1950</v>
      </c>
      <c r="B4" s="13" t="str">
        <f>'1950'!A4</f>
        <v>G. Farina</v>
      </c>
      <c r="C4" s="14" t="s">
        <v>157</v>
      </c>
      <c r="D4" s="13">
        <f>'1950'!I4</f>
        <v>45</v>
      </c>
      <c r="H4" s="13" t="s">
        <v>131</v>
      </c>
      <c r="I4" s="13" t="s">
        <v>238</v>
      </c>
      <c r="J4" s="13" t="s">
        <v>249</v>
      </c>
      <c r="L4" s="13" t="s">
        <v>290</v>
      </c>
      <c r="M4" s="13" t="s">
        <v>289</v>
      </c>
      <c r="N4" s="13" t="s">
        <v>291</v>
      </c>
    </row>
    <row r="5" spans="1:14" x14ac:dyDescent="0.25">
      <c r="A5" s="6">
        <v>1951</v>
      </c>
      <c r="B5" s="13" t="str">
        <f>'1951'!A4</f>
        <v>J. Fangio</v>
      </c>
      <c r="C5" s="14" t="s">
        <v>157</v>
      </c>
      <c r="D5" s="13">
        <f>'1951'!J4</f>
        <v>50</v>
      </c>
      <c r="H5" s="13" t="s">
        <v>246</v>
      </c>
      <c r="I5" s="13" t="s">
        <v>268</v>
      </c>
      <c r="J5" s="13" t="s">
        <v>287</v>
      </c>
      <c r="L5" s="13" t="s">
        <v>261</v>
      </c>
      <c r="M5" s="13" t="s">
        <v>355</v>
      </c>
      <c r="N5" s="13" t="s">
        <v>356</v>
      </c>
    </row>
    <row r="6" spans="1:14" x14ac:dyDescent="0.25">
      <c r="A6" s="6">
        <v>1952</v>
      </c>
      <c r="B6" s="13" t="str">
        <f>'1952'!A4</f>
        <v>A. Ascari</v>
      </c>
      <c r="C6" s="14" t="s">
        <v>157</v>
      </c>
      <c r="D6" s="13">
        <f>'1952'!J4</f>
        <v>63</v>
      </c>
      <c r="H6" s="13" t="s">
        <v>134</v>
      </c>
      <c r="I6" s="13" t="s">
        <v>235</v>
      </c>
      <c r="J6" s="13" t="s">
        <v>237</v>
      </c>
      <c r="L6" s="13" t="s">
        <v>260</v>
      </c>
      <c r="M6" s="13" t="s">
        <v>289</v>
      </c>
      <c r="N6" s="13" t="s">
        <v>269</v>
      </c>
    </row>
    <row r="7" spans="1:14" x14ac:dyDescent="0.25">
      <c r="A7" s="6">
        <v>1953</v>
      </c>
      <c r="B7" s="13" t="str">
        <f>'1953'!A4</f>
        <v>A. Ascari</v>
      </c>
      <c r="C7" s="14" t="s">
        <v>157</v>
      </c>
      <c r="D7" s="13">
        <f>'1953'!K4</f>
        <v>49</v>
      </c>
      <c r="H7" s="13" t="s">
        <v>252</v>
      </c>
      <c r="I7" s="13" t="s">
        <v>292</v>
      </c>
      <c r="J7" s="13" t="s">
        <v>354</v>
      </c>
    </row>
    <row r="8" spans="1:14" x14ac:dyDescent="0.25">
      <c r="A8" s="6">
        <v>1954</v>
      </c>
      <c r="B8" s="13" t="str">
        <f>'1954'!A4</f>
        <v>J. Fangio</v>
      </c>
      <c r="C8" s="14" t="s">
        <v>157</v>
      </c>
      <c r="D8" s="13">
        <f>'1954'!K4</f>
        <v>68</v>
      </c>
      <c r="H8" s="13" t="s">
        <v>174</v>
      </c>
      <c r="I8" s="13" t="s">
        <v>268</v>
      </c>
      <c r="J8" s="13" t="s">
        <v>269</v>
      </c>
    </row>
    <row r="9" spans="1:14" x14ac:dyDescent="0.25">
      <c r="A9" s="6">
        <v>1955</v>
      </c>
      <c r="B9" s="13" t="str">
        <f>'1955'!A4</f>
        <v>J. Fangio</v>
      </c>
      <c r="C9" s="14" t="s">
        <v>157</v>
      </c>
      <c r="D9" s="54">
        <f>'1955'!I4</f>
        <v>46</v>
      </c>
      <c r="H9" s="13" t="s">
        <v>130</v>
      </c>
      <c r="I9" s="13" t="s">
        <v>235</v>
      </c>
      <c r="J9" s="13" t="s">
        <v>236</v>
      </c>
    </row>
    <row r="10" spans="1:14" x14ac:dyDescent="0.25">
      <c r="A10" s="6">
        <v>1956</v>
      </c>
      <c r="B10" s="13" t="str">
        <f>'1956'!A4</f>
        <v>J. Fangio</v>
      </c>
      <c r="C10" s="14" t="s">
        <v>157</v>
      </c>
      <c r="D10" s="13">
        <f>'1956'!J4</f>
        <v>53</v>
      </c>
      <c r="H10" s="13" t="s">
        <v>258</v>
      </c>
      <c r="I10" s="13" t="s">
        <v>268</v>
      </c>
      <c r="J10" s="13" t="s">
        <v>356</v>
      </c>
    </row>
    <row r="11" spans="1:14" x14ac:dyDescent="0.25">
      <c r="A11" s="6">
        <v>1957</v>
      </c>
      <c r="B11" s="13" t="str">
        <f>'1957'!A4</f>
        <v>J. Fangio</v>
      </c>
      <c r="C11" s="14" t="s">
        <v>157</v>
      </c>
      <c r="D11" s="13">
        <f>'1957'!J4</f>
        <v>53</v>
      </c>
    </row>
    <row r="12" spans="1:14" x14ac:dyDescent="0.25">
      <c r="A12" s="6">
        <v>1958</v>
      </c>
      <c r="B12" s="13" t="str">
        <f>'1958'!A4</f>
        <v>M. Hawthorn</v>
      </c>
      <c r="C12" s="13" t="str">
        <f>'1958'!A31</f>
        <v>Vanwall</v>
      </c>
      <c r="D12" s="13">
        <f>'1958'!N4</f>
        <v>68</v>
      </c>
    </row>
    <row r="13" spans="1:14" x14ac:dyDescent="0.25">
      <c r="A13" s="6">
        <v>1959</v>
      </c>
      <c r="B13" s="13" t="str">
        <f>'1959'!A4</f>
        <v>J. Brabham</v>
      </c>
      <c r="C13" s="13" t="s">
        <v>266</v>
      </c>
      <c r="D13" s="13">
        <f>'1959'!L4</f>
        <v>62</v>
      </c>
    </row>
    <row r="14" spans="1:14" x14ac:dyDescent="0.25">
      <c r="A14" s="6">
        <v>1960</v>
      </c>
      <c r="B14" s="13" t="str">
        <f>'1960'!A4</f>
        <v>J. Brabham</v>
      </c>
      <c r="C14" s="13" t="s">
        <v>266</v>
      </c>
      <c r="D14" s="13">
        <f>'1960'!M4</f>
        <v>57</v>
      </c>
    </row>
    <row r="15" spans="1:14" x14ac:dyDescent="0.25">
      <c r="A15" s="6">
        <v>1961</v>
      </c>
      <c r="B15" s="13" t="str">
        <f>'1961'!A4</f>
        <v>P. Hill</v>
      </c>
      <c r="C15" s="13" t="s">
        <v>261</v>
      </c>
      <c r="D15" s="13">
        <f>'1961'!K4</f>
        <v>54</v>
      </c>
    </row>
    <row r="16" spans="1:14" x14ac:dyDescent="0.25">
      <c r="A16" s="6">
        <v>1962</v>
      </c>
      <c r="B16" s="13" t="str">
        <f>'1962'!A4</f>
        <v>G. Hill</v>
      </c>
      <c r="C16" s="13" t="s">
        <v>262</v>
      </c>
      <c r="D16" s="13">
        <f>'1962'!L4</f>
        <v>65</v>
      </c>
    </row>
    <row r="17" spans="1:4" x14ac:dyDescent="0.25">
      <c r="A17" s="6">
        <v>1963</v>
      </c>
      <c r="B17" s="13"/>
      <c r="C17" s="76" t="s">
        <v>262</v>
      </c>
      <c r="D17" s="13"/>
    </row>
    <row r="18" spans="1:4" x14ac:dyDescent="0.25">
      <c r="A18" s="6">
        <v>1964</v>
      </c>
      <c r="B18" s="13"/>
      <c r="C18" s="10"/>
      <c r="D18" s="13"/>
    </row>
    <row r="19" spans="1:4" x14ac:dyDescent="0.25">
      <c r="A19" s="6">
        <v>1965</v>
      </c>
      <c r="B19" s="13"/>
      <c r="C19" s="10"/>
      <c r="D19" s="13"/>
    </row>
    <row r="20" spans="1:4" x14ac:dyDescent="0.25">
      <c r="A20" s="6">
        <v>1966</v>
      </c>
      <c r="B20" s="13"/>
      <c r="C20" s="10"/>
      <c r="D20" s="13"/>
    </row>
    <row r="21" spans="1:4" x14ac:dyDescent="0.25">
      <c r="A21" s="6">
        <v>1967</v>
      </c>
      <c r="B21" s="13"/>
      <c r="C21" s="10"/>
      <c r="D21" s="13"/>
    </row>
    <row r="22" spans="1:4" x14ac:dyDescent="0.25">
      <c r="A22" s="6">
        <v>1968</v>
      </c>
      <c r="B22" s="13"/>
      <c r="C22" s="10"/>
      <c r="D22" s="13"/>
    </row>
    <row r="23" spans="1:4" x14ac:dyDescent="0.25">
      <c r="A23" s="6">
        <v>1969</v>
      </c>
      <c r="B23" s="13"/>
      <c r="C23" s="10"/>
      <c r="D23" s="13"/>
    </row>
    <row r="24" spans="1:4" x14ac:dyDescent="0.25">
      <c r="A24" s="6">
        <v>1970</v>
      </c>
      <c r="B24" s="13"/>
      <c r="C24" s="10"/>
      <c r="D24" s="13"/>
    </row>
    <row r="25" spans="1:4" x14ac:dyDescent="0.25">
      <c r="A25" s="6">
        <v>1971</v>
      </c>
      <c r="B25" s="13"/>
      <c r="C25" s="10"/>
      <c r="D25" s="13"/>
    </row>
    <row r="26" spans="1:4" x14ac:dyDescent="0.25">
      <c r="A26" s="6">
        <v>1972</v>
      </c>
      <c r="B26" s="13"/>
      <c r="C26" s="10"/>
      <c r="D26" s="13"/>
    </row>
    <row r="27" spans="1:4" x14ac:dyDescent="0.25">
      <c r="A27" s="6">
        <v>1973</v>
      </c>
      <c r="B27" s="13"/>
      <c r="C27" s="10"/>
      <c r="D27" s="13"/>
    </row>
    <row r="28" spans="1:4" x14ac:dyDescent="0.25">
      <c r="A28" s="6">
        <v>1974</v>
      </c>
      <c r="B28" s="13"/>
      <c r="C28" s="10"/>
      <c r="D28" s="13"/>
    </row>
    <row r="29" spans="1:4" x14ac:dyDescent="0.25">
      <c r="A29" s="6">
        <v>1975</v>
      </c>
      <c r="B29" s="13"/>
      <c r="C29" s="10"/>
      <c r="D29" s="13"/>
    </row>
    <row r="30" spans="1:4" x14ac:dyDescent="0.25">
      <c r="A30" s="6">
        <v>1976</v>
      </c>
      <c r="B30" s="13"/>
      <c r="C30" s="10"/>
      <c r="D30" s="13"/>
    </row>
    <row r="31" spans="1:4" x14ac:dyDescent="0.25">
      <c r="A31" s="6">
        <v>1977</v>
      </c>
      <c r="B31" s="13"/>
      <c r="C31" s="10"/>
      <c r="D31" s="13"/>
    </row>
    <row r="32" spans="1:4" x14ac:dyDescent="0.25">
      <c r="A32" s="6">
        <v>1978</v>
      </c>
      <c r="B32" s="13"/>
      <c r="C32" s="10"/>
      <c r="D32" s="13"/>
    </row>
    <row r="33" spans="1:4" x14ac:dyDescent="0.25">
      <c r="A33" s="6">
        <v>1979</v>
      </c>
      <c r="B33" s="13"/>
      <c r="C33" s="10"/>
      <c r="D33" s="13"/>
    </row>
    <row r="34" spans="1:4" x14ac:dyDescent="0.25">
      <c r="A34" s="6">
        <v>1980</v>
      </c>
      <c r="B34" s="13"/>
      <c r="C34" s="10"/>
      <c r="D34" s="13"/>
    </row>
    <row r="35" spans="1:4" x14ac:dyDescent="0.25">
      <c r="A35" s="6">
        <v>1981</v>
      </c>
      <c r="B35" s="13"/>
      <c r="C35" s="10"/>
      <c r="D35" s="13"/>
    </row>
    <row r="36" spans="1:4" x14ac:dyDescent="0.25">
      <c r="A36" s="6">
        <v>1982</v>
      </c>
      <c r="B36" s="13"/>
      <c r="C36" s="10"/>
      <c r="D36" s="13"/>
    </row>
    <row r="37" spans="1:4" x14ac:dyDescent="0.25">
      <c r="A37" s="6">
        <v>1983</v>
      </c>
      <c r="B37" s="13"/>
      <c r="C37" s="10"/>
      <c r="D37" s="13"/>
    </row>
    <row r="38" spans="1:4" x14ac:dyDescent="0.25">
      <c r="A38" s="6">
        <v>1984</v>
      </c>
      <c r="B38" s="13"/>
      <c r="C38" s="10"/>
      <c r="D38" s="13"/>
    </row>
    <row r="39" spans="1:4" x14ac:dyDescent="0.25">
      <c r="A39" s="6">
        <v>1985</v>
      </c>
      <c r="B39" s="13"/>
      <c r="C39" s="10"/>
      <c r="D39" s="13"/>
    </row>
    <row r="40" spans="1:4" x14ac:dyDescent="0.25">
      <c r="A40" s="6">
        <v>1986</v>
      </c>
      <c r="B40" s="13"/>
      <c r="C40" s="10"/>
      <c r="D40" s="13"/>
    </row>
    <row r="41" spans="1:4" x14ac:dyDescent="0.25">
      <c r="A41" s="6">
        <v>1987</v>
      </c>
      <c r="B41" s="13"/>
      <c r="C41" s="10"/>
      <c r="D41" s="13"/>
    </row>
    <row r="42" spans="1:4" x14ac:dyDescent="0.25">
      <c r="A42" s="6">
        <v>1988</v>
      </c>
      <c r="B42" s="13"/>
      <c r="C42" s="10"/>
      <c r="D42" s="13"/>
    </row>
    <row r="43" spans="1:4" x14ac:dyDescent="0.25">
      <c r="A43" s="6">
        <v>1989</v>
      </c>
      <c r="B43" s="13"/>
      <c r="C43" s="10"/>
      <c r="D43" s="13"/>
    </row>
    <row r="44" spans="1:4" x14ac:dyDescent="0.25">
      <c r="A44" s="6">
        <v>1990</v>
      </c>
      <c r="B44" s="13"/>
      <c r="C44" s="10"/>
      <c r="D44" s="13"/>
    </row>
    <row r="45" spans="1:4" x14ac:dyDescent="0.25">
      <c r="A45" s="6">
        <v>1991</v>
      </c>
      <c r="B45" s="13"/>
      <c r="C45" s="10"/>
      <c r="D45" s="13"/>
    </row>
    <row r="46" spans="1:4" x14ac:dyDescent="0.25">
      <c r="A46" s="6">
        <v>1992</v>
      </c>
      <c r="B46" s="13"/>
      <c r="C46" s="10"/>
      <c r="D46" s="13"/>
    </row>
    <row r="47" spans="1:4" x14ac:dyDescent="0.25">
      <c r="A47" s="6">
        <v>1993</v>
      </c>
      <c r="B47" s="13"/>
      <c r="C47" s="10"/>
      <c r="D47" s="13"/>
    </row>
    <row r="48" spans="1:4" x14ac:dyDescent="0.25">
      <c r="A48" s="6">
        <v>1994</v>
      </c>
      <c r="B48" s="13"/>
      <c r="C48" s="10"/>
      <c r="D48" s="13"/>
    </row>
    <row r="49" spans="1:4" x14ac:dyDescent="0.25">
      <c r="A49" s="6">
        <v>1995</v>
      </c>
      <c r="B49" s="13"/>
      <c r="C49" s="10"/>
      <c r="D49" s="13"/>
    </row>
    <row r="50" spans="1:4" x14ac:dyDescent="0.25">
      <c r="A50" s="6">
        <v>1996</v>
      </c>
      <c r="B50" s="13"/>
      <c r="C50" s="10"/>
      <c r="D50" s="13"/>
    </row>
    <row r="51" spans="1:4" x14ac:dyDescent="0.25">
      <c r="A51" s="6">
        <v>1997</v>
      </c>
      <c r="B51" s="13"/>
      <c r="C51" s="10"/>
      <c r="D51" s="13"/>
    </row>
    <row r="52" spans="1:4" x14ac:dyDescent="0.25">
      <c r="A52" s="6">
        <v>1998</v>
      </c>
      <c r="B52" s="13"/>
      <c r="C52" s="10"/>
      <c r="D52" s="13"/>
    </row>
    <row r="53" spans="1:4" x14ac:dyDescent="0.25">
      <c r="A53" s="6">
        <v>1999</v>
      </c>
      <c r="B53" s="13"/>
      <c r="C53" s="10"/>
      <c r="D53" s="13"/>
    </row>
    <row r="54" spans="1:4" x14ac:dyDescent="0.25">
      <c r="A54" s="6">
        <v>2000</v>
      </c>
      <c r="B54" s="13"/>
      <c r="C54" s="10"/>
      <c r="D54" s="13"/>
    </row>
    <row r="55" spans="1:4" x14ac:dyDescent="0.25">
      <c r="A55" s="6">
        <v>2001</v>
      </c>
      <c r="B55" s="13"/>
      <c r="C55" s="10"/>
      <c r="D55" s="13"/>
    </row>
    <row r="56" spans="1:4" x14ac:dyDescent="0.25">
      <c r="A56" s="6">
        <v>2002</v>
      </c>
      <c r="B56" s="13"/>
      <c r="C56" s="10"/>
      <c r="D56" s="13"/>
    </row>
    <row r="57" spans="1:4" x14ac:dyDescent="0.25">
      <c r="A57" s="6">
        <v>2003</v>
      </c>
      <c r="B57" s="13"/>
      <c r="C57" s="10"/>
      <c r="D57" s="13"/>
    </row>
    <row r="58" spans="1:4" x14ac:dyDescent="0.25">
      <c r="A58" s="6">
        <v>2004</v>
      </c>
      <c r="B58" s="13"/>
      <c r="C58" s="10"/>
      <c r="D58" s="13"/>
    </row>
    <row r="59" spans="1:4" x14ac:dyDescent="0.25">
      <c r="A59" s="6">
        <v>2005</v>
      </c>
      <c r="B59" s="13"/>
      <c r="C59" s="10"/>
      <c r="D59" s="13"/>
    </row>
    <row r="60" spans="1:4" x14ac:dyDescent="0.25">
      <c r="A60" s="6">
        <v>2006</v>
      </c>
      <c r="B60" s="13"/>
      <c r="C60" s="10"/>
      <c r="D60" s="13"/>
    </row>
    <row r="61" spans="1:4" x14ac:dyDescent="0.25">
      <c r="A61" s="6">
        <v>2007</v>
      </c>
      <c r="B61" s="13"/>
      <c r="C61" s="10"/>
      <c r="D61" s="13"/>
    </row>
    <row r="62" spans="1:4" x14ac:dyDescent="0.25">
      <c r="A62" s="6">
        <v>2008</v>
      </c>
      <c r="B62" s="13"/>
      <c r="C62" s="10"/>
      <c r="D62" s="13"/>
    </row>
    <row r="63" spans="1:4" x14ac:dyDescent="0.25">
      <c r="A63" s="6">
        <v>2009</v>
      </c>
      <c r="B63" s="13"/>
      <c r="C63" s="10"/>
      <c r="D63" s="13"/>
    </row>
    <row r="64" spans="1:4" x14ac:dyDescent="0.25">
      <c r="A64" s="6">
        <v>2010</v>
      </c>
      <c r="B64" s="13"/>
      <c r="C64" s="10"/>
      <c r="D64" s="13"/>
    </row>
    <row r="65" spans="1:4" x14ac:dyDescent="0.25">
      <c r="A65" s="6">
        <v>2011</v>
      </c>
      <c r="B65" s="13"/>
      <c r="C65" s="10"/>
      <c r="D65" s="13"/>
    </row>
    <row r="66" spans="1:4" x14ac:dyDescent="0.25">
      <c r="A66" s="6">
        <v>2012</v>
      </c>
      <c r="B66" s="13"/>
      <c r="C66" s="10"/>
      <c r="D66" s="13"/>
    </row>
    <row r="67" spans="1:4" x14ac:dyDescent="0.25">
      <c r="A67" s="6">
        <v>2013</v>
      </c>
      <c r="B67" s="13"/>
      <c r="C67" s="10"/>
      <c r="D67" s="13"/>
    </row>
    <row r="68" spans="1:4" x14ac:dyDescent="0.25">
      <c r="A68" s="6">
        <v>2014</v>
      </c>
      <c r="B68" s="13"/>
      <c r="C68" s="10"/>
      <c r="D68" s="13"/>
    </row>
    <row r="69" spans="1:4" x14ac:dyDescent="0.25">
      <c r="A69" s="6">
        <v>2015</v>
      </c>
      <c r="B69" s="13"/>
      <c r="C69" s="10"/>
      <c r="D69" s="13"/>
    </row>
    <row r="70" spans="1:4" x14ac:dyDescent="0.25">
      <c r="A70" s="6">
        <v>2016</v>
      </c>
      <c r="B70" s="13"/>
      <c r="C70" s="10"/>
      <c r="D70" s="13"/>
    </row>
    <row r="71" spans="1:4" x14ac:dyDescent="0.25">
      <c r="A71" s="6">
        <v>2017</v>
      </c>
      <c r="B71" s="13"/>
      <c r="C71" s="10"/>
      <c r="D71" s="13"/>
    </row>
    <row r="72" spans="1:4" x14ac:dyDescent="0.25">
      <c r="A72" s="6">
        <v>2018</v>
      </c>
      <c r="B72" s="13"/>
      <c r="C72" s="10"/>
      <c r="D72" s="13"/>
    </row>
    <row r="73" spans="1:4" x14ac:dyDescent="0.25">
      <c r="A73" s="6">
        <v>2019</v>
      </c>
      <c r="B73" s="13"/>
      <c r="C73" s="10"/>
      <c r="D73" s="13"/>
    </row>
    <row r="74" spans="1:4" x14ac:dyDescent="0.25">
      <c r="A74" s="6">
        <v>2020</v>
      </c>
      <c r="B74" s="13"/>
      <c r="C74" s="10"/>
      <c r="D74" s="13"/>
    </row>
    <row r="75" spans="1:4" x14ac:dyDescent="0.25">
      <c r="A75" s="6">
        <v>2021</v>
      </c>
      <c r="B75" s="13"/>
      <c r="C75" s="10"/>
      <c r="D75" s="13"/>
    </row>
    <row r="76" spans="1:4" x14ac:dyDescent="0.25">
      <c r="A76" s="6">
        <v>2022</v>
      </c>
      <c r="B76" s="13"/>
      <c r="C76" s="10"/>
      <c r="D76" s="13"/>
    </row>
    <row r="77" spans="1:4" x14ac:dyDescent="0.25">
      <c r="A77" s="6">
        <v>2023</v>
      </c>
      <c r="B77" s="13"/>
      <c r="C77" s="10"/>
      <c r="D77" s="13"/>
    </row>
    <row r="78" spans="1:4" x14ac:dyDescent="0.25">
      <c r="A78" s="6">
        <v>2024</v>
      </c>
      <c r="B78" s="13"/>
      <c r="C78" s="10"/>
      <c r="D78" s="13"/>
    </row>
    <row r="79" spans="1:4" x14ac:dyDescent="0.25">
      <c r="A79" s="6">
        <v>2025</v>
      </c>
      <c r="B79" s="10"/>
      <c r="C79" s="10"/>
      <c r="D79" s="13"/>
    </row>
    <row r="1048576" spans="3:3" x14ac:dyDescent="0.25">
      <c r="C1048576" s="13"/>
    </row>
  </sheetData>
  <sortState xmlns:xlrd2="http://schemas.microsoft.com/office/spreadsheetml/2017/richdata2" ref="H4:J9">
    <sortCondition descending="1" ref="J4:J9"/>
  </sortState>
  <mergeCells count="1">
    <mergeCell ref="A1:D1"/>
  </mergeCells>
  <conditionalFormatting sqref="D1:D1048576">
    <cfRule type="aboveAverage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2"/>
  <dimension ref="A1:R24"/>
  <sheetViews>
    <sheetView zoomScale="90" zoomScaleNormal="90" workbookViewId="0">
      <pane ySplit="3" topLeftCell="A4" activePane="bottomLeft" state="frozen"/>
      <selection pane="bottomLeft" activeCell="I7" sqref="I7"/>
    </sheetView>
  </sheetViews>
  <sheetFormatPr defaultRowHeight="15" x14ac:dyDescent="0.25"/>
  <cols>
    <col min="1" max="1" width="34.5703125" bestFit="1" customWidth="1"/>
    <col min="2" max="17" width="16" customWidth="1"/>
  </cols>
  <sheetData>
    <row r="1" spans="1:18" ht="21" x14ac:dyDescent="0.35">
      <c r="A1" s="1" t="s">
        <v>5</v>
      </c>
    </row>
    <row r="3" spans="1:18" x14ac:dyDescent="0.25">
      <c r="A3" s="2" t="s">
        <v>6</v>
      </c>
      <c r="B3" s="7" t="s">
        <v>139</v>
      </c>
      <c r="C3" s="7" t="s">
        <v>140</v>
      </c>
      <c r="D3" s="7" t="s">
        <v>141</v>
      </c>
      <c r="E3" s="7" t="s">
        <v>142</v>
      </c>
      <c r="F3" s="7" t="s">
        <v>143</v>
      </c>
      <c r="G3" s="7" t="s">
        <v>144</v>
      </c>
      <c r="H3" s="7" t="s">
        <v>145</v>
      </c>
      <c r="I3" s="7" t="s">
        <v>18</v>
      </c>
      <c r="J3" s="4" t="s">
        <v>19</v>
      </c>
      <c r="K3" s="4"/>
      <c r="L3" s="4" t="s">
        <v>20</v>
      </c>
      <c r="M3" s="4" t="s">
        <v>21</v>
      </c>
      <c r="N3" s="4" t="s">
        <v>22</v>
      </c>
      <c r="Q3" s="3" t="s">
        <v>23</v>
      </c>
    </row>
    <row r="4" spans="1:18" ht="18.75" x14ac:dyDescent="0.4">
      <c r="A4" s="5" t="s">
        <v>130</v>
      </c>
      <c r="B4" s="11">
        <v>5</v>
      </c>
      <c r="C4" s="12">
        <v>9</v>
      </c>
      <c r="D4" s="11">
        <v>0</v>
      </c>
      <c r="E4" s="12">
        <v>9</v>
      </c>
      <c r="F4" s="11">
        <v>7</v>
      </c>
      <c r="G4" s="12">
        <v>9</v>
      </c>
      <c r="H4" s="11">
        <v>6</v>
      </c>
      <c r="I4" s="39">
        <f>SUM(Drivers_1950[[#This Row],[Gran Bretagna]:[Italia]])</f>
        <v>45</v>
      </c>
      <c r="J4">
        <v>90</v>
      </c>
      <c r="K4" s="9">
        <f>J4*$J$24</f>
        <v>151830</v>
      </c>
      <c r="L4">
        <f ca="1">J4+RAND()*6</f>
        <v>94.336413428134463</v>
      </c>
      <c r="M4">
        <f t="shared" ref="M4:M23" ca="1" si="0">J4+L4</f>
        <v>184.33641342813445</v>
      </c>
      <c r="N4">
        <f ca="1">RANK(M4,$M$4:$M$23,0)</f>
        <v>1</v>
      </c>
      <c r="O4" s="6" t="str">
        <f ca="1">IF(RAND()&lt;0.08,"DNF","OK")</f>
        <v>OK</v>
      </c>
      <c r="Q4" t="s">
        <v>26</v>
      </c>
    </row>
    <row r="5" spans="1:18" ht="18.75" x14ac:dyDescent="0.4">
      <c r="A5" s="5" t="s">
        <v>134</v>
      </c>
      <c r="B5" s="12">
        <v>8</v>
      </c>
      <c r="C5" s="11">
        <v>4</v>
      </c>
      <c r="D5" s="11">
        <v>0</v>
      </c>
      <c r="E5" s="11">
        <v>4</v>
      </c>
      <c r="F5" s="12">
        <v>8</v>
      </c>
      <c r="G5" s="11">
        <v>6</v>
      </c>
      <c r="H5" s="11">
        <v>4</v>
      </c>
      <c r="I5" s="39">
        <f>SUM(Drivers_1950[[#This Row],[Gran Bretagna]:[Italia]])</f>
        <v>34</v>
      </c>
      <c r="J5">
        <v>89</v>
      </c>
      <c r="K5" s="9">
        <f t="shared" ref="K5:K23" si="1">J5*$J$24</f>
        <v>150143</v>
      </c>
      <c r="L5">
        <f t="shared" ref="L5:L23" ca="1" si="2">J5+RAND()*6</f>
        <v>90.723397265380228</v>
      </c>
      <c r="M5">
        <f t="shared" ca="1" si="0"/>
        <v>179.72339726538024</v>
      </c>
      <c r="N5">
        <f t="shared" ref="N5:N23" ca="1" si="3">RANK(M5,$M$4:$M$23,0)</f>
        <v>3</v>
      </c>
      <c r="O5" s="6" t="str">
        <f t="shared" ref="O5:O23" ca="1" si="4">IF(RAND()&lt;0.08,"DNF","OK")</f>
        <v>OK</v>
      </c>
      <c r="Q5" t="s">
        <v>29</v>
      </c>
    </row>
    <row r="6" spans="1:18" ht="18.75" x14ac:dyDescent="0.4">
      <c r="A6" s="5" t="s">
        <v>131</v>
      </c>
      <c r="B6" s="11">
        <v>6</v>
      </c>
      <c r="C6" s="11">
        <v>6</v>
      </c>
      <c r="D6" s="11">
        <v>0</v>
      </c>
      <c r="E6" s="11">
        <v>3</v>
      </c>
      <c r="F6" s="11">
        <v>0</v>
      </c>
      <c r="G6" s="11">
        <v>0</v>
      </c>
      <c r="H6" s="12">
        <v>9</v>
      </c>
      <c r="I6" s="39">
        <f>SUM(Drivers_1950[[#This Row],[Gran Bretagna]:[Italia]])</f>
        <v>24</v>
      </c>
      <c r="J6">
        <v>89</v>
      </c>
      <c r="K6" s="9">
        <f t="shared" si="1"/>
        <v>150143</v>
      </c>
      <c r="L6">
        <f t="shared" ca="1" si="2"/>
        <v>89.026192990586409</v>
      </c>
      <c r="M6">
        <f t="shared" ca="1" si="0"/>
        <v>178.02619299058642</v>
      </c>
      <c r="N6">
        <f t="shared" ca="1" si="3"/>
        <v>6</v>
      </c>
      <c r="O6" s="6" t="str">
        <f t="shared" ca="1" si="4"/>
        <v>OK</v>
      </c>
      <c r="Q6" t="s">
        <v>32</v>
      </c>
    </row>
    <row r="7" spans="1:18" ht="18.75" x14ac:dyDescent="0.4">
      <c r="A7" s="5" t="s">
        <v>151</v>
      </c>
      <c r="B7" s="11">
        <v>3</v>
      </c>
      <c r="C7" s="11">
        <v>3</v>
      </c>
      <c r="D7" s="11">
        <v>0</v>
      </c>
      <c r="E7" s="11">
        <v>0</v>
      </c>
      <c r="F7" s="11">
        <v>4</v>
      </c>
      <c r="G7" s="11">
        <v>4</v>
      </c>
      <c r="H7" s="11">
        <v>3</v>
      </c>
      <c r="I7" s="39">
        <f>SUM(Drivers_1950[[#This Row],[Gran Bretagna]:[Italia]])</f>
        <v>17</v>
      </c>
      <c r="J7">
        <v>86</v>
      </c>
      <c r="K7" s="9">
        <f t="shared" si="1"/>
        <v>145082</v>
      </c>
      <c r="L7">
        <f t="shared" ca="1" si="2"/>
        <v>86.04599069556167</v>
      </c>
      <c r="M7">
        <f t="shared" ca="1" si="0"/>
        <v>172.04599069556167</v>
      </c>
      <c r="N7">
        <f t="shared" ca="1" si="3"/>
        <v>10</v>
      </c>
      <c r="O7" s="6" t="str">
        <f t="shared" ca="1" si="4"/>
        <v>OK</v>
      </c>
      <c r="Q7" t="s">
        <v>35</v>
      </c>
    </row>
    <row r="8" spans="1:18" ht="18.75" x14ac:dyDescent="0.4">
      <c r="A8" s="5" t="s">
        <v>135</v>
      </c>
      <c r="B8" s="11">
        <v>0</v>
      </c>
      <c r="C8" s="11">
        <v>1</v>
      </c>
      <c r="D8" s="12">
        <v>9</v>
      </c>
      <c r="E8" s="11">
        <v>1</v>
      </c>
      <c r="F8" s="11">
        <v>2</v>
      </c>
      <c r="G8" s="11">
        <v>1</v>
      </c>
      <c r="H8" s="11">
        <v>1</v>
      </c>
      <c r="I8" s="39">
        <f>SUM(Drivers_1950[[#This Row],[Gran Bretagna]:[Italia]])</f>
        <v>15</v>
      </c>
      <c r="J8">
        <v>89</v>
      </c>
      <c r="K8" s="9">
        <f t="shared" si="1"/>
        <v>150143</v>
      </c>
      <c r="L8">
        <f t="shared" ca="1" si="2"/>
        <v>89.654891356594646</v>
      </c>
      <c r="M8">
        <f t="shared" ca="1" si="0"/>
        <v>178.65489135659465</v>
      </c>
      <c r="N8">
        <f t="shared" ca="1" si="3"/>
        <v>5</v>
      </c>
      <c r="O8" s="6" t="str">
        <f t="shared" ca="1" si="4"/>
        <v>OK</v>
      </c>
      <c r="Q8" t="s">
        <v>38</v>
      </c>
    </row>
    <row r="9" spans="1:18" ht="18.75" x14ac:dyDescent="0.4">
      <c r="A9" s="5" t="s">
        <v>150</v>
      </c>
      <c r="B9" s="11">
        <v>0</v>
      </c>
      <c r="C9" s="11">
        <v>0</v>
      </c>
      <c r="D9" s="11">
        <v>0</v>
      </c>
      <c r="E9" s="11">
        <v>6</v>
      </c>
      <c r="F9" s="11">
        <v>0</v>
      </c>
      <c r="G9" s="11">
        <v>2</v>
      </c>
      <c r="H9" s="11">
        <v>0</v>
      </c>
      <c r="I9" s="39">
        <f>SUM(Drivers_1950[[#This Row],[Gran Bretagna]:[Italia]])</f>
        <v>8</v>
      </c>
      <c r="J9">
        <v>86</v>
      </c>
      <c r="K9" s="9">
        <f t="shared" si="1"/>
        <v>145082</v>
      </c>
      <c r="L9">
        <f t="shared" ca="1" si="2"/>
        <v>87.795838466356187</v>
      </c>
      <c r="M9">
        <f t="shared" ca="1" si="0"/>
        <v>173.7958384663562</v>
      </c>
      <c r="N9">
        <f t="shared" ca="1" si="3"/>
        <v>8</v>
      </c>
      <c r="O9" s="6" t="str">
        <f t="shared" ca="1" si="4"/>
        <v>OK</v>
      </c>
    </row>
    <row r="10" spans="1:18" ht="18.75" x14ac:dyDescent="0.4">
      <c r="A10" s="5" t="s">
        <v>132</v>
      </c>
      <c r="B10" s="11">
        <v>1</v>
      </c>
      <c r="C10" s="11">
        <v>2</v>
      </c>
      <c r="D10" s="11">
        <v>0</v>
      </c>
      <c r="E10" s="11">
        <v>2</v>
      </c>
      <c r="F10" s="11">
        <v>1</v>
      </c>
      <c r="G10" s="11">
        <v>0</v>
      </c>
      <c r="H10" s="11">
        <v>0</v>
      </c>
      <c r="I10" s="39">
        <f>SUM(Drivers_1950[[#This Row],[Gran Bretagna]:[Italia]])</f>
        <v>6</v>
      </c>
      <c r="J10">
        <v>87</v>
      </c>
      <c r="K10" s="9">
        <f t="shared" si="1"/>
        <v>146769</v>
      </c>
      <c r="L10">
        <f t="shared" ca="1" si="2"/>
        <v>92.465405745997913</v>
      </c>
      <c r="M10">
        <f t="shared" ca="1" si="0"/>
        <v>179.46540574599791</v>
      </c>
      <c r="N10">
        <f t="shared" ca="1" si="3"/>
        <v>4</v>
      </c>
      <c r="O10" s="6" t="str">
        <f t="shared" ca="1" si="4"/>
        <v>OK</v>
      </c>
    </row>
    <row r="11" spans="1:18" ht="18.75" x14ac:dyDescent="0.4">
      <c r="A11" s="5" t="s">
        <v>149</v>
      </c>
      <c r="B11" s="11">
        <v>0</v>
      </c>
      <c r="C11" s="11">
        <v>0</v>
      </c>
      <c r="D11" s="11">
        <v>0</v>
      </c>
      <c r="E11" s="11">
        <v>0</v>
      </c>
      <c r="F11" s="11">
        <v>3</v>
      </c>
      <c r="G11" s="11">
        <v>3</v>
      </c>
      <c r="H11" s="11">
        <v>0</v>
      </c>
      <c r="I11" s="39">
        <f>SUM(Drivers_1950[[#This Row],[Gran Bretagna]:[Italia]])</f>
        <v>6</v>
      </c>
      <c r="J11">
        <v>85</v>
      </c>
      <c r="K11" s="9">
        <f t="shared" si="1"/>
        <v>143395</v>
      </c>
      <c r="L11">
        <f t="shared" ca="1" si="2"/>
        <v>85.064956581961511</v>
      </c>
      <c r="M11">
        <f t="shared" ca="1" si="0"/>
        <v>170.0649565819615</v>
      </c>
      <c r="N11">
        <f t="shared" ca="1" si="3"/>
        <v>11</v>
      </c>
      <c r="O11" s="6" t="str">
        <f t="shared" ca="1" si="4"/>
        <v>OK</v>
      </c>
      <c r="Q11" s="3" t="s">
        <v>42</v>
      </c>
    </row>
    <row r="12" spans="1:18" ht="18.75" x14ac:dyDescent="0.4">
      <c r="A12" s="5" t="s">
        <v>136</v>
      </c>
      <c r="B12" s="11">
        <v>2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9">
        <f>SUM(Drivers_1950[[#This Row],[Gran Bretagna]:[Italia]])</f>
        <v>2</v>
      </c>
      <c r="J12">
        <v>84</v>
      </c>
      <c r="K12" s="9">
        <f t="shared" si="1"/>
        <v>141708</v>
      </c>
      <c r="L12">
        <f t="shared" ca="1" si="2"/>
        <v>89.951515364082454</v>
      </c>
      <c r="M12">
        <f t="shared" ca="1" si="0"/>
        <v>173.95151536408247</v>
      </c>
      <c r="N12">
        <f t="shared" ca="1" si="3"/>
        <v>7</v>
      </c>
      <c r="O12" s="6" t="str">
        <f t="shared" ca="1" si="4"/>
        <v>OK</v>
      </c>
      <c r="Q12">
        <v>1</v>
      </c>
      <c r="R12" s="5">
        <v>8</v>
      </c>
    </row>
    <row r="13" spans="1:18" ht="18.75" x14ac:dyDescent="0.4">
      <c r="A13" s="5" t="s">
        <v>148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2</v>
      </c>
      <c r="I13" s="39">
        <f>SUM(Drivers_1950[[#This Row],[Gran Bretagna]:[Italia]])</f>
        <v>2</v>
      </c>
      <c r="J13">
        <v>84</v>
      </c>
      <c r="K13" s="9">
        <f t="shared" si="1"/>
        <v>141708</v>
      </c>
      <c r="L13">
        <f t="shared" ca="1" si="2"/>
        <v>88.868662246570125</v>
      </c>
      <c r="M13">
        <f t="shared" ca="1" si="0"/>
        <v>172.86866224657012</v>
      </c>
      <c r="N13">
        <f t="shared" ca="1" si="3"/>
        <v>9</v>
      </c>
      <c r="O13" s="6" t="str">
        <f t="shared" ca="1" si="4"/>
        <v>OK</v>
      </c>
      <c r="Q13">
        <v>2</v>
      </c>
      <c r="R13" s="5">
        <v>6</v>
      </c>
    </row>
    <row r="14" spans="1:18" ht="18.75" x14ac:dyDescent="0.4">
      <c r="A14" s="5" t="s">
        <v>133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39">
        <f>SUM(Drivers_1950[[#This Row],[Gran Bretagna]:[Italia]])</f>
        <v>0</v>
      </c>
      <c r="J14">
        <v>83</v>
      </c>
      <c r="K14" s="9">
        <f t="shared" si="1"/>
        <v>140021</v>
      </c>
      <c r="L14">
        <f t="shared" ca="1" si="2"/>
        <v>86.53599599181274</v>
      </c>
      <c r="M14">
        <f t="shared" ca="1" si="0"/>
        <v>169.53599599181274</v>
      </c>
      <c r="N14">
        <f t="shared" ca="1" si="3"/>
        <v>12</v>
      </c>
      <c r="O14" s="6" t="str">
        <f t="shared" ca="1" si="4"/>
        <v>OK</v>
      </c>
      <c r="Q14">
        <v>3</v>
      </c>
      <c r="R14" s="5">
        <v>4</v>
      </c>
    </row>
    <row r="15" spans="1:18" ht="18.75" x14ac:dyDescent="0.4">
      <c r="A15" s="5" t="s">
        <v>137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39">
        <f>SUM(Drivers_1950[[#This Row],[Gran Bretagna]:[Italia]])</f>
        <v>0</v>
      </c>
      <c r="J15">
        <v>83</v>
      </c>
      <c r="K15" s="9">
        <f t="shared" si="1"/>
        <v>140021</v>
      </c>
      <c r="L15">
        <f t="shared" ca="1" si="2"/>
        <v>85.741884325350625</v>
      </c>
      <c r="M15">
        <f t="shared" ca="1" si="0"/>
        <v>168.74188432535061</v>
      </c>
      <c r="N15">
        <f t="shared" ca="1" si="3"/>
        <v>14</v>
      </c>
      <c r="O15" s="6" t="str">
        <f t="shared" ca="1" si="4"/>
        <v>OK</v>
      </c>
      <c r="Q15">
        <v>4</v>
      </c>
      <c r="R15" s="5">
        <v>3</v>
      </c>
    </row>
    <row r="16" spans="1:18" ht="18.75" x14ac:dyDescent="0.4">
      <c r="A16" s="5" t="s">
        <v>138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39">
        <f>SUM(Drivers_1950[[#This Row],[Gran Bretagna]:[Italia]])</f>
        <v>0</v>
      </c>
      <c r="J16">
        <v>82</v>
      </c>
      <c r="K16" s="9">
        <f t="shared" si="1"/>
        <v>138334</v>
      </c>
      <c r="L16">
        <f t="shared" ca="1" si="2"/>
        <v>86.860641850010168</v>
      </c>
      <c r="M16">
        <f t="shared" ca="1" si="0"/>
        <v>168.86064185001015</v>
      </c>
      <c r="N16">
        <f t="shared" ca="1" si="3"/>
        <v>13</v>
      </c>
      <c r="O16" s="6" t="str">
        <f t="shared" ca="1" si="4"/>
        <v>OK</v>
      </c>
      <c r="Q16">
        <v>5</v>
      </c>
      <c r="R16" s="5">
        <v>2</v>
      </c>
    </row>
    <row r="17" spans="1:18" ht="18.75" x14ac:dyDescent="0.4">
      <c r="A17" s="5" t="s">
        <v>146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39">
        <f>SUM(Drivers_1950[[#This Row],[Gran Bretagna]:[Italia]])</f>
        <v>0</v>
      </c>
      <c r="J17">
        <v>81</v>
      </c>
      <c r="K17" s="9">
        <f t="shared" si="1"/>
        <v>136647</v>
      </c>
      <c r="L17">
        <f t="shared" ca="1" si="2"/>
        <v>83.930753257018566</v>
      </c>
      <c r="M17">
        <f t="shared" ca="1" si="0"/>
        <v>164.93075325701858</v>
      </c>
      <c r="N17">
        <f t="shared" ca="1" si="3"/>
        <v>15</v>
      </c>
      <c r="O17" s="6" t="str">
        <f t="shared" ca="1" si="4"/>
        <v>OK</v>
      </c>
      <c r="Q17">
        <v>6</v>
      </c>
      <c r="R17" s="5">
        <v>1</v>
      </c>
    </row>
    <row r="18" spans="1:18" ht="18.75" x14ac:dyDescent="0.4">
      <c r="A18" s="5" t="s">
        <v>147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39">
        <f>SUM(Drivers_1950[[#This Row],[Gran Bretagna]:[Italia]])</f>
        <v>0</v>
      </c>
      <c r="J18">
        <v>88</v>
      </c>
      <c r="K18" s="9">
        <f t="shared" si="1"/>
        <v>148456</v>
      </c>
      <c r="L18">
        <f t="shared" ca="1" si="2"/>
        <v>91.755305596396525</v>
      </c>
      <c r="M18">
        <f t="shared" ca="1" si="0"/>
        <v>179.75530559639651</v>
      </c>
      <c r="N18">
        <f t="shared" ca="1" si="3"/>
        <v>2</v>
      </c>
      <c r="O18" s="6" t="str">
        <f t="shared" ca="1" si="4"/>
        <v>OK</v>
      </c>
      <c r="Q18">
        <v>7</v>
      </c>
      <c r="R18" s="5">
        <v>0</v>
      </c>
    </row>
    <row r="19" spans="1:18" ht="18.75" x14ac:dyDescent="0.4">
      <c r="A19" s="5" t="s">
        <v>152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39">
        <f>SUM(Drivers_1950[[#This Row],[Gran Bretagna]:[Italia]])</f>
        <v>0</v>
      </c>
      <c r="J19">
        <v>81</v>
      </c>
      <c r="K19" s="9">
        <f t="shared" si="1"/>
        <v>136647</v>
      </c>
      <c r="L19">
        <f t="shared" ca="1" si="2"/>
        <v>83.565288608124959</v>
      </c>
      <c r="M19">
        <f t="shared" ca="1" si="0"/>
        <v>164.56528860812494</v>
      </c>
      <c r="N19">
        <f t="shared" ca="1" si="3"/>
        <v>16</v>
      </c>
      <c r="O19" s="6" t="str">
        <f t="shared" ca="1" si="4"/>
        <v>OK</v>
      </c>
      <c r="Q19">
        <v>8</v>
      </c>
      <c r="R19" s="5">
        <v>0</v>
      </c>
    </row>
    <row r="20" spans="1:18" ht="18.75" x14ac:dyDescent="0.4">
      <c r="A20" s="5" t="s">
        <v>153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39">
        <f>SUM(Drivers_1950[[#This Row],[Gran Bretagna]:[Italia]])</f>
        <v>0</v>
      </c>
      <c r="J20">
        <v>80</v>
      </c>
      <c r="K20" s="9">
        <f t="shared" si="1"/>
        <v>134960</v>
      </c>
      <c r="L20">
        <f t="shared" ca="1" si="2"/>
        <v>82.983946890572696</v>
      </c>
      <c r="M20">
        <f t="shared" ca="1" si="0"/>
        <v>162.9839468905727</v>
      </c>
      <c r="N20">
        <f t="shared" ca="1" si="3"/>
        <v>18</v>
      </c>
      <c r="O20" s="6" t="str">
        <f t="shared" ca="1" si="4"/>
        <v>OK</v>
      </c>
      <c r="Q20">
        <v>9</v>
      </c>
      <c r="R20" s="5">
        <v>0</v>
      </c>
    </row>
    <row r="21" spans="1:18" ht="18.75" x14ac:dyDescent="0.4">
      <c r="A21" s="5" t="s">
        <v>154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39">
        <f>SUM(Drivers_1950[[#This Row],[Gran Bretagna]:[Italia]])</f>
        <v>0</v>
      </c>
      <c r="J21">
        <v>79</v>
      </c>
      <c r="K21" s="9">
        <f t="shared" si="1"/>
        <v>133273</v>
      </c>
      <c r="L21">
        <f t="shared" ca="1" si="2"/>
        <v>82.026176146558399</v>
      </c>
      <c r="M21">
        <f t="shared" ca="1" si="0"/>
        <v>161.02617614655838</v>
      </c>
      <c r="N21">
        <f t="shared" ca="1" si="3"/>
        <v>20</v>
      </c>
      <c r="O21" s="6" t="str">
        <f t="shared" ca="1" si="4"/>
        <v>OK</v>
      </c>
      <c r="Q21">
        <v>10</v>
      </c>
      <c r="R21" s="5">
        <v>0</v>
      </c>
    </row>
    <row r="22" spans="1:18" ht="18.75" x14ac:dyDescent="0.4">
      <c r="A22" s="5" t="s">
        <v>155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9">
        <f>SUM(Drivers_1950[[#This Row],[Gran Bretagna]:[Italia]])</f>
        <v>0</v>
      </c>
      <c r="J22">
        <v>81</v>
      </c>
      <c r="K22" s="9">
        <f t="shared" si="1"/>
        <v>136647</v>
      </c>
      <c r="L22">
        <f t="shared" ca="1" si="2"/>
        <v>83.342162136118176</v>
      </c>
      <c r="M22">
        <f t="shared" ca="1" si="0"/>
        <v>164.34216213611819</v>
      </c>
      <c r="N22">
        <f t="shared" ca="1" si="3"/>
        <v>17</v>
      </c>
      <c r="O22" s="6" t="str">
        <f t="shared" ca="1" si="4"/>
        <v>OK</v>
      </c>
    </row>
    <row r="23" spans="1:18" ht="18.75" x14ac:dyDescent="0.4">
      <c r="A23" s="5" t="s">
        <v>156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9">
        <f>SUM(Drivers_1950[[#This Row],[Gran Bretagna]:[Italia]])</f>
        <v>0</v>
      </c>
      <c r="J23">
        <v>80</v>
      </c>
      <c r="K23" s="9">
        <f t="shared" si="1"/>
        <v>134960</v>
      </c>
      <c r="L23">
        <f t="shared" ca="1" si="2"/>
        <v>81.376319782900367</v>
      </c>
      <c r="M23">
        <f t="shared" ca="1" si="0"/>
        <v>161.37631978290037</v>
      </c>
      <c r="N23">
        <f t="shared" ca="1" si="3"/>
        <v>19</v>
      </c>
      <c r="O23" s="6" t="str">
        <f t="shared" ca="1" si="4"/>
        <v>DNF</v>
      </c>
    </row>
    <row r="24" spans="1:18" x14ac:dyDescent="0.25">
      <c r="J24">
        <f>SUM(J4:J23)</f>
        <v>1687</v>
      </c>
    </row>
  </sheetData>
  <conditionalFormatting sqref="N4:N23">
    <cfRule type="cellIs" dxfId="78" priority="2" operator="equal">
      <formula>1</formula>
    </cfRule>
  </conditionalFormatting>
  <conditionalFormatting sqref="O4:O23">
    <cfRule type="containsText" dxfId="77" priority="1" operator="containsText" text="DNF">
      <formula>NOT(ISERROR(SEARCH("DNF",O4)))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3"/>
  <dimension ref="A1:R24"/>
  <sheetViews>
    <sheetView zoomScale="90" zoomScaleNormal="90"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1" max="1" width="21.140625" customWidth="1"/>
    <col min="2" max="17" width="16" customWidth="1"/>
  </cols>
  <sheetData>
    <row r="1" spans="1:18" ht="21" x14ac:dyDescent="0.35">
      <c r="A1" s="1" t="s">
        <v>55</v>
      </c>
    </row>
    <row r="3" spans="1:18" ht="15.75" thickBot="1" x14ac:dyDescent="0.3">
      <c r="A3" s="7" t="s">
        <v>6</v>
      </c>
      <c r="B3" s="16" t="s">
        <v>142</v>
      </c>
      <c r="C3" s="16" t="s">
        <v>141</v>
      </c>
      <c r="D3" s="16" t="s">
        <v>143</v>
      </c>
      <c r="E3" s="16" t="s">
        <v>144</v>
      </c>
      <c r="F3" s="16" t="s">
        <v>159</v>
      </c>
      <c r="G3" s="16" t="s">
        <v>160</v>
      </c>
      <c r="H3" s="16" t="s">
        <v>145</v>
      </c>
      <c r="I3" s="16" t="s">
        <v>161</v>
      </c>
      <c r="J3" s="16" t="s">
        <v>18</v>
      </c>
      <c r="K3" s="17" t="s">
        <v>19</v>
      </c>
      <c r="L3" s="17" t="s">
        <v>158</v>
      </c>
      <c r="M3" s="17" t="s">
        <v>20</v>
      </c>
      <c r="N3" s="17" t="s">
        <v>21</v>
      </c>
      <c r="O3" s="17" t="s">
        <v>22</v>
      </c>
      <c r="Q3" s="3" t="s">
        <v>23</v>
      </c>
    </row>
    <row r="4" spans="1:18" ht="20.25" thickTop="1" thickBot="1" x14ac:dyDescent="0.45">
      <c r="A4" s="18" t="s">
        <v>131</v>
      </c>
      <c r="B4" s="19">
        <v>5</v>
      </c>
      <c r="C4" s="19">
        <v>0</v>
      </c>
      <c r="D4" s="19">
        <v>6</v>
      </c>
      <c r="E4" s="34">
        <v>9</v>
      </c>
      <c r="F4" s="19">
        <v>7</v>
      </c>
      <c r="G4" s="34">
        <v>9</v>
      </c>
      <c r="H4" s="19">
        <v>5</v>
      </c>
      <c r="I4" s="34">
        <v>9</v>
      </c>
      <c r="J4" s="37">
        <f t="shared" ref="J4:J23" si="0">SUM(B4:I4)</f>
        <v>50</v>
      </c>
      <c r="K4" s="20">
        <v>97</v>
      </c>
      <c r="L4" s="21">
        <f>'1951'!$K4*'1951'!$K$24</f>
        <v>165288</v>
      </c>
      <c r="M4" s="20">
        <f ca="1">'1951'!$K4+RAND()*6</f>
        <v>100.64915367097372</v>
      </c>
      <c r="N4" s="20">
        <f ca="1">'1951'!$K4+'1951'!$M4</f>
        <v>197.6491536709737</v>
      </c>
      <c r="O4" s="20">
        <f t="shared" ref="O4:O23" ca="1" si="1">RANK(N4,$N$4:$N$23,0)</f>
        <v>1</v>
      </c>
      <c r="Q4" t="s">
        <v>26</v>
      </c>
    </row>
    <row r="5" spans="1:18" ht="19.5" thickTop="1" x14ac:dyDescent="0.4">
      <c r="A5" s="22" t="s">
        <v>134</v>
      </c>
      <c r="B5" s="23">
        <v>6</v>
      </c>
      <c r="C5" s="23">
        <v>0</v>
      </c>
      <c r="D5" s="30">
        <v>9</v>
      </c>
      <c r="E5" s="23">
        <v>6</v>
      </c>
      <c r="F5" s="23">
        <v>4</v>
      </c>
      <c r="G5" s="23">
        <v>6</v>
      </c>
      <c r="H5" s="34">
        <v>8</v>
      </c>
      <c r="I5" s="23">
        <v>6</v>
      </c>
      <c r="J5" s="36">
        <f t="shared" si="0"/>
        <v>45</v>
      </c>
      <c r="K5" s="8">
        <v>96</v>
      </c>
      <c r="L5" s="24">
        <f>'1951'!$K5*'1951'!$K$24</f>
        <v>163584</v>
      </c>
      <c r="M5" s="8">
        <f ca="1">'1951'!$K5+RAND()*6</f>
        <v>99.097454441606288</v>
      </c>
      <c r="N5" s="8">
        <f ca="1">'1951'!$K5+'1951'!$M5</f>
        <v>195.09745444160629</v>
      </c>
      <c r="O5" s="8">
        <f t="shared" ca="1" si="1"/>
        <v>3</v>
      </c>
      <c r="Q5" t="s">
        <v>29</v>
      </c>
    </row>
    <row r="6" spans="1:18" ht="18.75" x14ac:dyDescent="0.4">
      <c r="A6" s="22" t="s">
        <v>130</v>
      </c>
      <c r="B6" s="29">
        <v>8</v>
      </c>
      <c r="C6" s="23">
        <v>0</v>
      </c>
      <c r="D6" s="23">
        <v>4</v>
      </c>
      <c r="E6" s="23">
        <v>4</v>
      </c>
      <c r="F6" s="30">
        <v>8</v>
      </c>
      <c r="G6" s="23">
        <v>4</v>
      </c>
      <c r="H6" s="23">
        <v>6</v>
      </c>
      <c r="I6" s="23">
        <v>4</v>
      </c>
      <c r="J6" s="36">
        <f t="shared" si="0"/>
        <v>38</v>
      </c>
      <c r="K6" s="8">
        <v>96</v>
      </c>
      <c r="L6" s="28">
        <f>'1951'!$K6*'1951'!$K$24</f>
        <v>163584</v>
      </c>
      <c r="M6" s="27">
        <f ca="1">'1951'!$K6+RAND()*6</f>
        <v>100.37843944335296</v>
      </c>
      <c r="N6" s="27">
        <f ca="1">'1951'!$K6+'1951'!$M6</f>
        <v>196.37843944335296</v>
      </c>
      <c r="O6" s="27">
        <f t="shared" ca="1" si="1"/>
        <v>2</v>
      </c>
      <c r="Q6" t="s">
        <v>32</v>
      </c>
    </row>
    <row r="7" spans="1:18" ht="18.75" x14ac:dyDescent="0.4">
      <c r="A7" s="25" t="s">
        <v>162</v>
      </c>
      <c r="B7" s="26">
        <v>3</v>
      </c>
      <c r="C7" s="26">
        <v>0</v>
      </c>
      <c r="D7" s="26">
        <v>3</v>
      </c>
      <c r="E7" s="26">
        <v>3</v>
      </c>
      <c r="F7" s="26">
        <v>3</v>
      </c>
      <c r="G7" s="26">
        <v>2</v>
      </c>
      <c r="H7" s="26">
        <v>3</v>
      </c>
      <c r="I7" s="26">
        <v>3</v>
      </c>
      <c r="J7" s="38">
        <f t="shared" si="0"/>
        <v>20</v>
      </c>
      <c r="K7" s="27">
        <v>89</v>
      </c>
      <c r="L7" s="24">
        <f>'1951'!$K7*'1951'!$K$24</f>
        <v>151656</v>
      </c>
      <c r="M7" s="8">
        <f ca="1">'1951'!$K7+RAND()*6</f>
        <v>94.297030824722412</v>
      </c>
      <c r="N7" s="8">
        <f ca="1">'1951'!$K7+'1951'!$M7</f>
        <v>183.29703082472241</v>
      </c>
      <c r="O7" s="8">
        <f t="shared" ca="1" si="1"/>
        <v>5</v>
      </c>
      <c r="Q7" t="s">
        <v>35</v>
      </c>
    </row>
    <row r="8" spans="1:18" ht="18.75" x14ac:dyDescent="0.4">
      <c r="A8" s="25" t="s">
        <v>156</v>
      </c>
      <c r="B8" s="26">
        <v>1</v>
      </c>
      <c r="C8" s="30">
        <v>9</v>
      </c>
      <c r="D8" s="26">
        <v>1</v>
      </c>
      <c r="E8" s="26">
        <v>0</v>
      </c>
      <c r="F8" s="26">
        <v>1</v>
      </c>
      <c r="G8" s="26">
        <v>1</v>
      </c>
      <c r="H8" s="26">
        <v>1</v>
      </c>
      <c r="I8" s="26">
        <v>1</v>
      </c>
      <c r="J8" s="38">
        <f t="shared" si="0"/>
        <v>15</v>
      </c>
      <c r="K8" s="27">
        <v>87</v>
      </c>
      <c r="L8" s="28">
        <f>'1951'!$K8*'1951'!$K$24</f>
        <v>148248</v>
      </c>
      <c r="M8" s="27">
        <f ca="1">'1951'!$K8+RAND()*6</f>
        <v>91.857899627270228</v>
      </c>
      <c r="N8" s="27">
        <f ca="1">'1951'!$K8+'1951'!$M8</f>
        <v>178.85789962727023</v>
      </c>
      <c r="O8" s="27">
        <f t="shared" ca="1" si="1"/>
        <v>6</v>
      </c>
      <c r="Q8" t="s">
        <v>38</v>
      </c>
    </row>
    <row r="9" spans="1:18" ht="18.75" x14ac:dyDescent="0.4">
      <c r="A9" s="25" t="s">
        <v>155</v>
      </c>
      <c r="B9" s="26">
        <v>2</v>
      </c>
      <c r="C9" s="26">
        <v>0</v>
      </c>
      <c r="D9" s="26">
        <v>2</v>
      </c>
      <c r="E9" s="26">
        <v>2</v>
      </c>
      <c r="F9" s="26">
        <v>2</v>
      </c>
      <c r="G9" s="26">
        <v>3</v>
      </c>
      <c r="H9" s="26">
        <v>2</v>
      </c>
      <c r="I9" s="26">
        <v>2</v>
      </c>
      <c r="J9" s="38">
        <f t="shared" si="0"/>
        <v>15</v>
      </c>
      <c r="K9" s="27">
        <v>89</v>
      </c>
      <c r="L9" s="24">
        <f>'1951'!$K9*'1951'!$K$24</f>
        <v>151656</v>
      </c>
      <c r="M9" s="8">
        <f ca="1">'1951'!$K9+RAND()*6</f>
        <v>94.438133897046868</v>
      </c>
      <c r="N9" s="8">
        <f ca="1">'1951'!$K9+'1951'!$M9</f>
        <v>183.43813389704687</v>
      </c>
      <c r="O9" s="8">
        <f t="shared" ca="1" si="1"/>
        <v>4</v>
      </c>
    </row>
    <row r="10" spans="1:18" ht="18.75" x14ac:dyDescent="0.4">
      <c r="A10" s="25" t="s">
        <v>164</v>
      </c>
      <c r="B10" s="26">
        <v>0</v>
      </c>
      <c r="C10" s="26">
        <v>6</v>
      </c>
      <c r="D10" s="23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38">
        <f t="shared" si="0"/>
        <v>6</v>
      </c>
      <c r="K10" s="27">
        <v>84</v>
      </c>
      <c r="L10" s="28">
        <f>'1951'!$K10*'1951'!$K$24</f>
        <v>143136</v>
      </c>
      <c r="M10" s="27">
        <f ca="1">'1951'!$K10+RAND()*6</f>
        <v>84.427109814059207</v>
      </c>
      <c r="N10" s="27">
        <f ca="1">'1951'!$K10+'1951'!$M10</f>
        <v>168.42710981405921</v>
      </c>
      <c r="O10" s="27">
        <f t="shared" ca="1" si="1"/>
        <v>11</v>
      </c>
    </row>
    <row r="11" spans="1:18" ht="18.75" x14ac:dyDescent="0.4">
      <c r="A11" s="22" t="s">
        <v>166</v>
      </c>
      <c r="B11" s="23">
        <v>0</v>
      </c>
      <c r="C11" s="23">
        <v>3</v>
      </c>
      <c r="D11" s="23">
        <v>0</v>
      </c>
      <c r="E11" s="23">
        <v>0</v>
      </c>
      <c r="F11" s="23">
        <v>0</v>
      </c>
      <c r="G11" s="26">
        <v>0</v>
      </c>
      <c r="H11" s="23">
        <v>0</v>
      </c>
      <c r="I11" s="23">
        <v>0</v>
      </c>
      <c r="J11" s="36">
        <f t="shared" si="0"/>
        <v>3</v>
      </c>
      <c r="K11" s="8">
        <v>81</v>
      </c>
      <c r="L11" s="24">
        <f>'1951'!$K11*'1951'!$K$24</f>
        <v>138024</v>
      </c>
      <c r="M11" s="8">
        <f ca="1">'1951'!$K11+RAND()*6</f>
        <v>86.128404249118006</v>
      </c>
      <c r="N11" s="8">
        <f ca="1">'1951'!$K11+'1951'!$M11</f>
        <v>167.12840424911801</v>
      </c>
      <c r="O11" s="8">
        <f t="shared" ca="1" si="1"/>
        <v>12</v>
      </c>
      <c r="Q11" s="3" t="s">
        <v>42</v>
      </c>
    </row>
    <row r="12" spans="1:18" ht="18.75" x14ac:dyDescent="0.4">
      <c r="A12" s="25" t="s">
        <v>167</v>
      </c>
      <c r="B12" s="26">
        <v>0</v>
      </c>
      <c r="C12" s="26">
        <v>2</v>
      </c>
      <c r="D12" s="23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38">
        <f t="shared" si="0"/>
        <v>2</v>
      </c>
      <c r="K12" s="27">
        <v>80</v>
      </c>
      <c r="L12" s="28">
        <f>'1951'!$K12*'1951'!$K$24</f>
        <v>136320</v>
      </c>
      <c r="M12" s="27">
        <f ca="1">'1951'!$K12+RAND()*6</f>
        <v>84.791860109180647</v>
      </c>
      <c r="N12" s="27">
        <f ca="1">'1951'!$K12+'1951'!$M12</f>
        <v>164.79186010918065</v>
      </c>
      <c r="O12" s="27">
        <f t="shared" ca="1" si="1"/>
        <v>15</v>
      </c>
      <c r="Q12">
        <v>1</v>
      </c>
      <c r="R12">
        <v>8</v>
      </c>
    </row>
    <row r="13" spans="1:18" ht="18.75" x14ac:dyDescent="0.4">
      <c r="A13" s="22" t="s">
        <v>168</v>
      </c>
      <c r="B13" s="23">
        <v>0</v>
      </c>
      <c r="C13" s="23">
        <v>2</v>
      </c>
      <c r="D13" s="23">
        <v>0</v>
      </c>
      <c r="E13" s="23">
        <v>0</v>
      </c>
      <c r="F13" s="23">
        <v>0</v>
      </c>
      <c r="G13" s="26">
        <v>0</v>
      </c>
      <c r="H13" s="23">
        <v>0</v>
      </c>
      <c r="I13" s="23">
        <v>0</v>
      </c>
      <c r="J13" s="36">
        <f t="shared" si="0"/>
        <v>2</v>
      </c>
      <c r="K13" s="8">
        <v>80</v>
      </c>
      <c r="L13" s="24">
        <f>'1951'!$K13*'1951'!$K$24</f>
        <v>136320</v>
      </c>
      <c r="M13" s="8">
        <f ca="1">'1951'!$K13+RAND()*6</f>
        <v>83.915183303948396</v>
      </c>
      <c r="N13" s="8">
        <f ca="1">'1951'!$K13+'1951'!$M13</f>
        <v>163.9151833039484</v>
      </c>
      <c r="O13" s="8">
        <f t="shared" ca="1" si="1"/>
        <v>16</v>
      </c>
      <c r="Q13">
        <v>2</v>
      </c>
      <c r="R13">
        <v>6</v>
      </c>
    </row>
    <row r="14" spans="1:18" ht="18.75" x14ac:dyDescent="0.4">
      <c r="A14" s="25" t="s">
        <v>170</v>
      </c>
      <c r="B14" s="26">
        <v>0</v>
      </c>
      <c r="C14" s="26">
        <v>2</v>
      </c>
      <c r="D14" s="23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38">
        <f t="shared" si="0"/>
        <v>2</v>
      </c>
      <c r="K14" s="27">
        <v>80</v>
      </c>
      <c r="L14" s="28">
        <f>'1951'!$K14*'1951'!$K$24</f>
        <v>136320</v>
      </c>
      <c r="M14" s="27">
        <f ca="1">'1951'!$K14+RAND()*6</f>
        <v>80.621427897810293</v>
      </c>
      <c r="N14" s="27">
        <f ca="1">'1951'!$K14+'1951'!$M14</f>
        <v>160.62142789781029</v>
      </c>
      <c r="O14" s="27">
        <f t="shared" ca="1" si="1"/>
        <v>20</v>
      </c>
      <c r="Q14">
        <v>3</v>
      </c>
      <c r="R14">
        <v>4</v>
      </c>
    </row>
    <row r="15" spans="1:18" ht="18.75" x14ac:dyDescent="0.4">
      <c r="A15" s="25" t="s">
        <v>132</v>
      </c>
      <c r="B15" s="26">
        <v>0</v>
      </c>
      <c r="C15" s="26">
        <v>0</v>
      </c>
      <c r="D15" s="23">
        <v>0</v>
      </c>
      <c r="E15" s="26">
        <v>1</v>
      </c>
      <c r="F15" s="26">
        <v>0</v>
      </c>
      <c r="G15" s="26">
        <v>0</v>
      </c>
      <c r="H15" s="26">
        <v>0</v>
      </c>
      <c r="I15" s="26">
        <v>0</v>
      </c>
      <c r="J15" s="38">
        <f t="shared" si="0"/>
        <v>1</v>
      </c>
      <c r="K15" s="27">
        <v>85</v>
      </c>
      <c r="L15" s="24">
        <f>'1951'!$K15*'1951'!$K$24</f>
        <v>144840</v>
      </c>
      <c r="M15" s="8">
        <f ca="1">'1951'!$K15+RAND()*6</f>
        <v>86.701076051629954</v>
      </c>
      <c r="N15" s="8">
        <f ca="1">'1951'!$K15+'1951'!$M15</f>
        <v>171.70107605162997</v>
      </c>
      <c r="O15" s="8">
        <f t="shared" ca="1" si="1"/>
        <v>10</v>
      </c>
      <c r="Q15">
        <v>4</v>
      </c>
      <c r="R15">
        <v>3</v>
      </c>
    </row>
    <row r="16" spans="1:18" ht="18.75" x14ac:dyDescent="0.4">
      <c r="A16" s="22" t="s">
        <v>163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6">
        <v>0</v>
      </c>
      <c r="H16" s="23">
        <v>0</v>
      </c>
      <c r="I16" s="23">
        <v>0</v>
      </c>
      <c r="J16" s="36">
        <f t="shared" si="0"/>
        <v>0</v>
      </c>
      <c r="K16" s="8">
        <v>86</v>
      </c>
      <c r="L16" s="28">
        <f>'1951'!$K16*'1951'!$K$24</f>
        <v>146544</v>
      </c>
      <c r="M16" s="27">
        <f ca="1">'1951'!$K16+RAND()*6</f>
        <v>90.45902851315067</v>
      </c>
      <c r="N16" s="27">
        <f ca="1">'1951'!$K16+'1951'!$M16</f>
        <v>176.45902851315066</v>
      </c>
      <c r="O16" s="27">
        <f t="shared" ca="1" si="1"/>
        <v>7</v>
      </c>
      <c r="Q16">
        <v>5</v>
      </c>
      <c r="R16">
        <v>2</v>
      </c>
    </row>
    <row r="17" spans="1:18" ht="18.75" x14ac:dyDescent="0.4">
      <c r="A17" s="22" t="s">
        <v>151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6">
        <v>0</v>
      </c>
      <c r="H17" s="23">
        <v>0</v>
      </c>
      <c r="I17" s="23">
        <v>0</v>
      </c>
      <c r="J17" s="36">
        <f t="shared" si="0"/>
        <v>0</v>
      </c>
      <c r="K17" s="8">
        <v>85</v>
      </c>
      <c r="L17" s="24">
        <f>'1951'!$K17*'1951'!$K$24</f>
        <v>144840</v>
      </c>
      <c r="M17" s="8">
        <f ca="1">'1951'!$K17+RAND()*6</f>
        <v>87.926446880125596</v>
      </c>
      <c r="N17" s="8">
        <f ca="1">'1951'!$K17+'1951'!$M17</f>
        <v>172.92644688012558</v>
      </c>
      <c r="O17" s="8">
        <f t="shared" ca="1" si="1"/>
        <v>9</v>
      </c>
      <c r="Q17">
        <v>6</v>
      </c>
      <c r="R17">
        <v>1</v>
      </c>
    </row>
    <row r="18" spans="1:18" ht="18.75" x14ac:dyDescent="0.4">
      <c r="A18" s="22" t="s">
        <v>146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6">
        <v>0</v>
      </c>
      <c r="H18" s="23">
        <v>0</v>
      </c>
      <c r="I18" s="23">
        <v>0</v>
      </c>
      <c r="J18" s="36">
        <f t="shared" si="0"/>
        <v>0</v>
      </c>
      <c r="K18" s="8">
        <v>84</v>
      </c>
      <c r="L18" s="28">
        <f>'1951'!$K18*'1951'!$K$24</f>
        <v>143136</v>
      </c>
      <c r="M18" s="27">
        <f ca="1">'1951'!$K18+RAND()*6</f>
        <v>89.289905826462189</v>
      </c>
      <c r="N18" s="27">
        <f ca="1">'1951'!$K18+'1951'!$M18</f>
        <v>173.28990582646219</v>
      </c>
      <c r="O18" s="27">
        <f t="shared" ca="1" si="1"/>
        <v>8</v>
      </c>
      <c r="Q18">
        <v>7</v>
      </c>
      <c r="R18">
        <v>0</v>
      </c>
    </row>
    <row r="19" spans="1:18" ht="18.75" x14ac:dyDescent="0.4">
      <c r="A19" s="22" t="s">
        <v>165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6">
        <v>0</v>
      </c>
      <c r="H19" s="23">
        <v>0</v>
      </c>
      <c r="I19" s="23">
        <v>0</v>
      </c>
      <c r="J19" s="36">
        <f t="shared" si="0"/>
        <v>0</v>
      </c>
      <c r="K19" s="8">
        <v>83</v>
      </c>
      <c r="L19" s="24">
        <f>'1951'!$K19*'1951'!$K$24</f>
        <v>141432</v>
      </c>
      <c r="M19" s="8">
        <f ca="1">'1951'!$K19+RAND()*6</f>
        <v>83.627747680454746</v>
      </c>
      <c r="N19" s="8">
        <f ca="1">'1951'!$K19+'1951'!$M19</f>
        <v>166.62774768045475</v>
      </c>
      <c r="O19" s="8">
        <f t="shared" ca="1" si="1"/>
        <v>13</v>
      </c>
      <c r="Q19">
        <v>8</v>
      </c>
      <c r="R19">
        <v>0</v>
      </c>
    </row>
    <row r="20" spans="1:18" ht="18.75" x14ac:dyDescent="0.4">
      <c r="A20" s="25" t="s">
        <v>133</v>
      </c>
      <c r="B20" s="26">
        <v>0</v>
      </c>
      <c r="C20" s="26">
        <v>0</v>
      </c>
      <c r="D20" s="23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38">
        <f t="shared" si="0"/>
        <v>0</v>
      </c>
      <c r="K20" s="27">
        <v>82</v>
      </c>
      <c r="L20" s="28">
        <f>'1951'!$K20*'1951'!$K$24</f>
        <v>139728</v>
      </c>
      <c r="M20" s="27">
        <f ca="1">'1951'!$K20+RAND()*6</f>
        <v>83.214108826376957</v>
      </c>
      <c r="N20" s="27">
        <f ca="1">'1951'!$K20+'1951'!$M20</f>
        <v>165.21410882637696</v>
      </c>
      <c r="O20" s="27">
        <f t="shared" ca="1" si="1"/>
        <v>14</v>
      </c>
      <c r="Q20">
        <v>9</v>
      </c>
      <c r="R20">
        <v>0</v>
      </c>
    </row>
    <row r="21" spans="1:18" ht="18.75" x14ac:dyDescent="0.4">
      <c r="A21" s="25" t="s">
        <v>169</v>
      </c>
      <c r="B21" s="26">
        <v>0</v>
      </c>
      <c r="C21" s="26">
        <v>0</v>
      </c>
      <c r="D21" s="23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38">
        <f t="shared" si="0"/>
        <v>0</v>
      </c>
      <c r="K21" s="27">
        <v>80</v>
      </c>
      <c r="L21" s="24">
        <f>'1951'!$K21*'1951'!$K$24</f>
        <v>136320</v>
      </c>
      <c r="M21" s="8">
        <f ca="1">'1951'!$K21+RAND()*6</f>
        <v>82.287905361142748</v>
      </c>
      <c r="N21" s="8">
        <f ca="1">'1951'!$K21+'1951'!$M21</f>
        <v>162.28790536114275</v>
      </c>
      <c r="O21" s="8">
        <f t="shared" ca="1" si="1"/>
        <v>17</v>
      </c>
      <c r="Q21">
        <v>10</v>
      </c>
      <c r="R21">
        <v>0</v>
      </c>
    </row>
    <row r="22" spans="1:18" ht="18.75" x14ac:dyDescent="0.4">
      <c r="A22" s="22" t="s">
        <v>147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6">
        <v>0</v>
      </c>
      <c r="H22" s="23">
        <v>0</v>
      </c>
      <c r="I22" s="23">
        <v>0</v>
      </c>
      <c r="J22" s="36">
        <f t="shared" si="0"/>
        <v>0</v>
      </c>
      <c r="K22" s="8">
        <v>80</v>
      </c>
      <c r="L22" s="28">
        <f>'1951'!$K22*'1951'!$K$24</f>
        <v>136320</v>
      </c>
      <c r="M22" s="27">
        <f ca="1">'1951'!$K22+RAND()*6</f>
        <v>82.16968975056119</v>
      </c>
      <c r="N22" s="27">
        <f ca="1">'1951'!$K22+'1951'!$M22</f>
        <v>162.16968975056119</v>
      </c>
      <c r="O22" s="27">
        <f t="shared" ca="1" si="1"/>
        <v>18</v>
      </c>
    </row>
    <row r="23" spans="1:18" ht="19.5" thickBot="1" x14ac:dyDescent="0.45">
      <c r="A23" s="22" t="s">
        <v>166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6">
        <v>0</v>
      </c>
      <c r="H23" s="23">
        <v>0</v>
      </c>
      <c r="I23" s="23">
        <v>0</v>
      </c>
      <c r="J23" s="36">
        <f t="shared" si="0"/>
        <v>0</v>
      </c>
      <c r="K23" s="8">
        <v>80</v>
      </c>
      <c r="L23" s="24">
        <f>'1951'!$K23*'1951'!$K$24</f>
        <v>136320</v>
      </c>
      <c r="M23" s="8">
        <f ca="1">'1951'!$K23+RAND()*6</f>
        <v>81.386483786000355</v>
      </c>
      <c r="N23" s="8">
        <f ca="1">'1951'!$K23+'1951'!$M23</f>
        <v>161.38648378600035</v>
      </c>
      <c r="O23" s="8">
        <f t="shared" ca="1" si="1"/>
        <v>19</v>
      </c>
    </row>
    <row r="24" spans="1:18" ht="19.5" thickTop="1" x14ac:dyDescent="0.4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15">
        <f>SUM('1951'!$K$4:$K$23)</f>
        <v>1704</v>
      </c>
      <c r="L24" s="33"/>
      <c r="M24" s="15"/>
      <c r="N24" s="15"/>
      <c r="O24" s="15"/>
    </row>
  </sheetData>
  <sortState xmlns:xlrd2="http://schemas.microsoft.com/office/spreadsheetml/2017/richdata2" ref="A4:K23">
    <sortCondition descending="1" ref="J4:J23"/>
  </sortState>
  <conditionalFormatting sqref="O4:O23">
    <cfRule type="cellIs" dxfId="76" priority="1" operator="equal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4"/>
  <dimension ref="A1:S26"/>
  <sheetViews>
    <sheetView workbookViewId="0">
      <pane ySplit="3" topLeftCell="A4" activePane="bottomLeft" state="frozen"/>
      <selection pane="bottomLeft" activeCell="A13" sqref="A13:XFD13"/>
    </sheetView>
  </sheetViews>
  <sheetFormatPr defaultRowHeight="15" x14ac:dyDescent="0.25"/>
  <cols>
    <col min="1" max="17" width="16" customWidth="1"/>
    <col min="18" max="18" width="13.28515625" bestFit="1" customWidth="1"/>
  </cols>
  <sheetData>
    <row r="1" spans="1:18" ht="21" x14ac:dyDescent="0.35">
      <c r="A1" s="1" t="s">
        <v>56</v>
      </c>
    </row>
    <row r="3" spans="1:18" ht="15.75" thickBot="1" x14ac:dyDescent="0.3">
      <c r="A3" s="7" t="s">
        <v>6</v>
      </c>
      <c r="B3" s="16" t="s">
        <v>142</v>
      </c>
      <c r="C3" s="16" t="s">
        <v>141</v>
      </c>
      <c r="D3" s="16" t="s">
        <v>143</v>
      </c>
      <c r="E3" s="16" t="s">
        <v>144</v>
      </c>
      <c r="F3" s="16" t="s">
        <v>139</v>
      </c>
      <c r="G3" s="16" t="s">
        <v>160</v>
      </c>
      <c r="H3" s="16" t="s">
        <v>171</v>
      </c>
      <c r="I3" s="16" t="s">
        <v>145</v>
      </c>
      <c r="J3" s="16" t="s">
        <v>18</v>
      </c>
      <c r="K3" s="4" t="s">
        <v>19</v>
      </c>
      <c r="L3" s="4"/>
      <c r="M3" s="4" t="s">
        <v>20</v>
      </c>
      <c r="N3" s="4" t="s">
        <v>21</v>
      </c>
      <c r="O3" s="4" t="s">
        <v>22</v>
      </c>
    </row>
    <row r="4" spans="1:18" ht="19.5" thickTop="1" x14ac:dyDescent="0.4">
      <c r="A4" s="22" t="s">
        <v>134</v>
      </c>
      <c r="B4" s="29">
        <v>9</v>
      </c>
      <c r="C4" s="40" t="s">
        <v>157</v>
      </c>
      <c r="D4" s="29">
        <v>9</v>
      </c>
      <c r="E4" s="29">
        <v>9</v>
      </c>
      <c r="F4" s="29">
        <v>9</v>
      </c>
      <c r="G4" s="29">
        <v>9</v>
      </c>
      <c r="H4" s="29">
        <v>9</v>
      </c>
      <c r="I4" s="29">
        <v>9</v>
      </c>
      <c r="J4" s="37">
        <f t="shared" ref="J4:J23" si="0">SUM(B4:I4)</f>
        <v>63</v>
      </c>
      <c r="K4">
        <v>95</v>
      </c>
      <c r="L4" s="9">
        <f>K4*$K$24</f>
        <v>163115</v>
      </c>
      <c r="M4">
        <f ca="1">K4+RAND()*6</f>
        <v>96.684942637280358</v>
      </c>
      <c r="N4">
        <f t="shared" ref="N4:N23" ca="1" si="1">K4+M4</f>
        <v>191.68494263728036</v>
      </c>
      <c r="O4">
        <f ca="1">RANK(N4,$N$4:$N$23,0)</f>
        <v>1</v>
      </c>
      <c r="P4" s="6" t="str">
        <f ca="1">IF(RAND()&lt;0.08,"DNF","OK")</f>
        <v>OK</v>
      </c>
    </row>
    <row r="5" spans="1:18" ht="18.75" x14ac:dyDescent="0.4">
      <c r="A5" s="22" t="s">
        <v>130</v>
      </c>
      <c r="B5" s="26">
        <v>6</v>
      </c>
      <c r="C5" s="40" t="s">
        <v>157</v>
      </c>
      <c r="D5" s="26">
        <v>6</v>
      </c>
      <c r="E5" s="26">
        <v>4</v>
      </c>
      <c r="F5" s="26">
        <v>6</v>
      </c>
      <c r="G5" s="26">
        <v>6</v>
      </c>
      <c r="H5" s="26">
        <v>3</v>
      </c>
      <c r="I5" s="26">
        <v>3</v>
      </c>
      <c r="J5" s="36">
        <f t="shared" si="0"/>
        <v>34</v>
      </c>
      <c r="K5">
        <v>90</v>
      </c>
      <c r="L5" s="9">
        <f t="shared" ref="L5:L23" si="2">K5*$K$24</f>
        <v>154530</v>
      </c>
      <c r="M5">
        <f t="shared" ref="M5:M23" ca="1" si="3">K5+RAND()*6</f>
        <v>91.654618886577424</v>
      </c>
      <c r="N5">
        <f t="shared" ca="1" si="1"/>
        <v>181.65461888657742</v>
      </c>
      <c r="O5">
        <f t="shared" ref="O5:O23" ca="1" si="4">RANK(N5,$N$4:$N$23,0)</f>
        <v>5</v>
      </c>
      <c r="P5" s="6" t="str">
        <f t="shared" ref="P5:P23" ca="1" si="5">IF(RAND()&lt;0.08,"DNF","OK")</f>
        <v>OK</v>
      </c>
    </row>
    <row r="6" spans="1:18" ht="18.75" x14ac:dyDescent="0.4">
      <c r="A6" s="22" t="s">
        <v>175</v>
      </c>
      <c r="B6" s="26">
        <v>0</v>
      </c>
      <c r="C6" s="40" t="s">
        <v>157</v>
      </c>
      <c r="D6" s="26">
        <v>2</v>
      </c>
      <c r="E6" s="26">
        <v>6</v>
      </c>
      <c r="F6" s="26">
        <v>2</v>
      </c>
      <c r="G6" s="26">
        <v>4</v>
      </c>
      <c r="H6" s="26">
        <v>0</v>
      </c>
      <c r="I6" s="26">
        <v>0</v>
      </c>
      <c r="J6" s="38">
        <f t="shared" si="0"/>
        <v>14</v>
      </c>
      <c r="K6">
        <v>70</v>
      </c>
      <c r="L6" s="9">
        <f t="shared" si="2"/>
        <v>120190</v>
      </c>
      <c r="M6">
        <f t="shared" ca="1" si="3"/>
        <v>71.798033267479227</v>
      </c>
      <c r="N6">
        <f t="shared" ca="1" si="1"/>
        <v>141.79803326747924</v>
      </c>
      <c r="O6">
        <f t="shared" ca="1" si="4"/>
        <v>20</v>
      </c>
      <c r="P6" s="6" t="str">
        <f t="shared" ca="1" si="5"/>
        <v>DNF</v>
      </c>
    </row>
    <row r="7" spans="1:18" ht="18.75" x14ac:dyDescent="0.4">
      <c r="A7" s="22" t="s">
        <v>173</v>
      </c>
      <c r="B7" s="26">
        <v>0</v>
      </c>
      <c r="C7" s="26">
        <v>0</v>
      </c>
      <c r="D7" s="26">
        <v>4</v>
      </c>
      <c r="E7" s="26">
        <v>0</v>
      </c>
      <c r="F7" s="26">
        <v>4</v>
      </c>
      <c r="G7" s="26">
        <v>0</v>
      </c>
      <c r="H7" s="26">
        <v>6</v>
      </c>
      <c r="I7" s="26">
        <v>4</v>
      </c>
      <c r="J7" s="36">
        <f t="shared" si="0"/>
        <v>18</v>
      </c>
      <c r="K7">
        <v>89</v>
      </c>
      <c r="L7" s="9">
        <f t="shared" si="2"/>
        <v>152813</v>
      </c>
      <c r="M7">
        <f t="shared" ca="1" si="3"/>
        <v>93.820341265992866</v>
      </c>
      <c r="N7">
        <f t="shared" ca="1" si="1"/>
        <v>182.82034126599285</v>
      </c>
      <c r="O7">
        <f t="shared" ca="1" si="4"/>
        <v>2</v>
      </c>
      <c r="P7" s="6" t="str">
        <f t="shared" ca="1" si="5"/>
        <v>OK</v>
      </c>
    </row>
    <row r="8" spans="1:18" ht="18.75" x14ac:dyDescent="0.4">
      <c r="A8" s="22" t="s">
        <v>174</v>
      </c>
      <c r="B8" s="26">
        <v>0</v>
      </c>
      <c r="C8" s="29">
        <v>9</v>
      </c>
      <c r="D8" s="40">
        <v>0</v>
      </c>
      <c r="E8" s="26">
        <v>0</v>
      </c>
      <c r="F8" s="26" t="s">
        <v>188</v>
      </c>
      <c r="G8" s="26">
        <v>0</v>
      </c>
      <c r="H8" s="26">
        <v>4</v>
      </c>
      <c r="I8" s="26" t="s">
        <v>188</v>
      </c>
      <c r="J8" s="38">
        <f t="shared" si="0"/>
        <v>13</v>
      </c>
      <c r="K8">
        <v>89</v>
      </c>
      <c r="L8" s="9">
        <f t="shared" si="2"/>
        <v>152813</v>
      </c>
      <c r="M8">
        <f t="shared" ca="1" si="3"/>
        <v>92.729230220416639</v>
      </c>
      <c r="N8">
        <f t="shared" ca="1" si="1"/>
        <v>181.72923022041664</v>
      </c>
      <c r="O8">
        <f t="shared" ca="1" si="4"/>
        <v>4</v>
      </c>
      <c r="P8" s="6" t="str">
        <f t="shared" ca="1" si="5"/>
        <v>OK</v>
      </c>
    </row>
    <row r="9" spans="1:18" ht="18.75" x14ac:dyDescent="0.4">
      <c r="A9" s="22" t="s">
        <v>172</v>
      </c>
      <c r="B9" s="26">
        <v>3</v>
      </c>
      <c r="C9" s="40" t="s">
        <v>157</v>
      </c>
      <c r="D9" s="26">
        <v>3</v>
      </c>
      <c r="E9" s="26">
        <v>2</v>
      </c>
      <c r="F9" s="26">
        <v>1</v>
      </c>
      <c r="G9" s="26">
        <v>1</v>
      </c>
      <c r="H9" s="26">
        <v>1</v>
      </c>
      <c r="I9" s="26">
        <v>0</v>
      </c>
      <c r="J9" s="36">
        <f t="shared" si="0"/>
        <v>11</v>
      </c>
      <c r="K9">
        <v>88</v>
      </c>
      <c r="L9" s="9">
        <f t="shared" si="2"/>
        <v>151096</v>
      </c>
      <c r="M9">
        <f t="shared" ca="1" si="3"/>
        <v>88.760656026298619</v>
      </c>
      <c r="N9">
        <f t="shared" ca="1" si="1"/>
        <v>176.76065602629862</v>
      </c>
      <c r="O9">
        <f t="shared" ca="1" si="4"/>
        <v>9</v>
      </c>
      <c r="P9" s="6" t="str">
        <f t="shared" ca="1" si="5"/>
        <v>OK</v>
      </c>
    </row>
    <row r="10" spans="1:18" ht="18.75" x14ac:dyDescent="0.4">
      <c r="A10" s="22" t="s">
        <v>176</v>
      </c>
      <c r="B10" s="26">
        <v>2</v>
      </c>
      <c r="C10" s="40" t="s">
        <v>157</v>
      </c>
      <c r="D10" s="26">
        <v>1</v>
      </c>
      <c r="E10" s="26">
        <v>0</v>
      </c>
      <c r="F10" s="26">
        <v>3</v>
      </c>
      <c r="G10" s="26">
        <v>2</v>
      </c>
      <c r="H10" s="26">
        <v>0</v>
      </c>
      <c r="I10" s="26">
        <v>0</v>
      </c>
      <c r="J10" s="38">
        <f t="shared" si="0"/>
        <v>8</v>
      </c>
      <c r="K10">
        <v>86</v>
      </c>
      <c r="L10" s="9">
        <f t="shared" si="2"/>
        <v>147662</v>
      </c>
      <c r="M10">
        <f t="shared" ca="1" si="3"/>
        <v>91.77774060266033</v>
      </c>
      <c r="N10">
        <f t="shared" ca="1" si="1"/>
        <v>177.77774060266034</v>
      </c>
      <c r="O10">
        <f t="shared" ca="1" si="4"/>
        <v>8</v>
      </c>
      <c r="P10" s="6" t="str">
        <f t="shared" ca="1" si="5"/>
        <v>OK</v>
      </c>
    </row>
    <row r="11" spans="1:18" ht="18.75" x14ac:dyDescent="0.4">
      <c r="A11" s="22" t="s">
        <v>155</v>
      </c>
      <c r="B11" s="26">
        <v>4</v>
      </c>
      <c r="C11" s="40" t="s">
        <v>157</v>
      </c>
      <c r="D11" s="26">
        <v>0</v>
      </c>
      <c r="E11" s="26">
        <v>3</v>
      </c>
      <c r="F11" s="26">
        <v>0</v>
      </c>
      <c r="G11" s="26" t="s">
        <v>188</v>
      </c>
      <c r="H11" s="26">
        <v>0</v>
      </c>
      <c r="I11" s="26">
        <v>1</v>
      </c>
      <c r="J11" s="38">
        <f t="shared" si="0"/>
        <v>8</v>
      </c>
      <c r="K11">
        <v>88</v>
      </c>
      <c r="L11" s="9">
        <f t="shared" si="2"/>
        <v>151096</v>
      </c>
      <c r="M11">
        <f t="shared" ca="1" si="3"/>
        <v>93.379762006529276</v>
      </c>
      <c r="N11">
        <f t="shared" ca="1" si="1"/>
        <v>181.37976200652929</v>
      </c>
      <c r="O11">
        <f t="shared" ca="1" si="4"/>
        <v>6</v>
      </c>
      <c r="P11" s="6" t="str">
        <f t="shared" ca="1" si="5"/>
        <v>OK</v>
      </c>
    </row>
    <row r="12" spans="1:18" ht="18.75" x14ac:dyDescent="0.4">
      <c r="A12" s="22" t="s">
        <v>178</v>
      </c>
      <c r="B12" s="26">
        <v>0</v>
      </c>
      <c r="C12" s="26">
        <v>6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36">
        <f t="shared" si="0"/>
        <v>6</v>
      </c>
      <c r="K12">
        <v>85</v>
      </c>
      <c r="L12" s="9">
        <f t="shared" si="2"/>
        <v>145945</v>
      </c>
      <c r="M12">
        <f t="shared" ca="1" si="3"/>
        <v>90.448495599074235</v>
      </c>
      <c r="N12">
        <f t="shared" ca="1" si="1"/>
        <v>175.44849559907425</v>
      </c>
      <c r="O12">
        <f t="shared" ca="1" si="4"/>
        <v>11</v>
      </c>
      <c r="P12" s="6" t="str">
        <f t="shared" ca="1" si="5"/>
        <v>OK</v>
      </c>
    </row>
    <row r="13" spans="1:18" ht="18.75" x14ac:dyDescent="0.4">
      <c r="A13" s="22" t="s">
        <v>177</v>
      </c>
      <c r="B13" s="26">
        <v>0</v>
      </c>
      <c r="C13" s="26">
        <v>4</v>
      </c>
      <c r="D13" s="26">
        <v>0</v>
      </c>
      <c r="E13" s="42" t="s">
        <v>188</v>
      </c>
      <c r="F13" s="26">
        <v>0</v>
      </c>
      <c r="G13" s="26">
        <v>0</v>
      </c>
      <c r="H13" s="26">
        <v>2</v>
      </c>
      <c r="I13" s="26">
        <v>6</v>
      </c>
      <c r="J13" s="36">
        <f t="shared" si="0"/>
        <v>12</v>
      </c>
      <c r="K13">
        <v>88</v>
      </c>
      <c r="L13" s="9">
        <f t="shared" si="2"/>
        <v>151096</v>
      </c>
      <c r="M13">
        <f t="shared" ca="1" si="3"/>
        <v>93.920220029312802</v>
      </c>
      <c r="N13">
        <f t="shared" ca="1" si="1"/>
        <v>181.92022002931282</v>
      </c>
      <c r="O13">
        <f t="shared" ca="1" si="4"/>
        <v>3</v>
      </c>
      <c r="P13" s="6" t="str">
        <f t="shared" ca="1" si="5"/>
        <v>OK</v>
      </c>
    </row>
    <row r="14" spans="1:18" ht="18.75" x14ac:dyDescent="0.4">
      <c r="A14" s="22" t="s">
        <v>181</v>
      </c>
      <c r="B14" s="26">
        <v>0</v>
      </c>
      <c r="C14" s="26">
        <v>3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38">
        <f t="shared" si="0"/>
        <v>3</v>
      </c>
      <c r="K14">
        <v>83</v>
      </c>
      <c r="L14" s="9">
        <f t="shared" si="2"/>
        <v>142511</v>
      </c>
      <c r="M14">
        <f t="shared" ca="1" si="3"/>
        <v>86.420466161008804</v>
      </c>
      <c r="N14">
        <f t="shared" ca="1" si="1"/>
        <v>169.42046616100879</v>
      </c>
      <c r="O14">
        <f t="shared" ca="1" si="4"/>
        <v>19</v>
      </c>
      <c r="P14" s="6" t="str">
        <f t="shared" ca="1" si="5"/>
        <v>OK</v>
      </c>
    </row>
    <row r="15" spans="1:18" ht="18.75" x14ac:dyDescent="0.4">
      <c r="A15" s="22" t="s">
        <v>149</v>
      </c>
      <c r="B15" s="26">
        <v>0</v>
      </c>
      <c r="C15" s="26">
        <v>0</v>
      </c>
      <c r="D15" s="26">
        <v>0</v>
      </c>
      <c r="E15" s="41">
        <v>0</v>
      </c>
      <c r="F15" s="26" t="s">
        <v>188</v>
      </c>
      <c r="G15" s="26">
        <v>3</v>
      </c>
      <c r="H15" s="26">
        <v>0</v>
      </c>
      <c r="I15" s="26">
        <v>0</v>
      </c>
      <c r="J15" s="38">
        <f t="shared" si="0"/>
        <v>3</v>
      </c>
      <c r="K15">
        <v>87</v>
      </c>
      <c r="L15" s="9">
        <f t="shared" si="2"/>
        <v>149379</v>
      </c>
      <c r="M15">
        <f t="shared" ca="1" si="3"/>
        <v>88.253879379088332</v>
      </c>
      <c r="N15">
        <f t="shared" ca="1" si="1"/>
        <v>175.25387937908835</v>
      </c>
      <c r="O15">
        <f t="shared" ca="1" si="4"/>
        <v>12</v>
      </c>
      <c r="P15" s="6" t="str">
        <f t="shared" ca="1" si="5"/>
        <v>DNF</v>
      </c>
    </row>
    <row r="16" spans="1:18" ht="18.75" x14ac:dyDescent="0.4">
      <c r="A16" s="22" t="s">
        <v>184</v>
      </c>
      <c r="B16" s="26">
        <v>1</v>
      </c>
      <c r="C16" s="40" t="s">
        <v>157</v>
      </c>
      <c r="D16" s="26">
        <v>0</v>
      </c>
      <c r="E16" s="26">
        <v>1</v>
      </c>
      <c r="F16" s="26">
        <v>0</v>
      </c>
      <c r="G16" s="26">
        <v>0</v>
      </c>
      <c r="H16" s="26">
        <v>0</v>
      </c>
      <c r="I16" s="26">
        <v>0</v>
      </c>
      <c r="J16" s="36">
        <f t="shared" si="0"/>
        <v>2</v>
      </c>
      <c r="K16">
        <v>84</v>
      </c>
      <c r="L16" s="9">
        <f t="shared" si="2"/>
        <v>144228</v>
      </c>
      <c r="M16">
        <f t="shared" ca="1" si="3"/>
        <v>88.913712608053501</v>
      </c>
      <c r="N16">
        <f t="shared" ca="1" si="1"/>
        <v>172.91371260805352</v>
      </c>
      <c r="O16">
        <f t="shared" ca="1" si="4"/>
        <v>14</v>
      </c>
      <c r="P16" s="6" t="str">
        <f t="shared" ca="1" si="5"/>
        <v>OK</v>
      </c>
      <c r="R16" s="3" t="s">
        <v>42</v>
      </c>
    </row>
    <row r="17" spans="1:19" ht="18.75" x14ac:dyDescent="0.4">
      <c r="A17" s="22" t="s">
        <v>162</v>
      </c>
      <c r="B17" s="26">
        <v>0</v>
      </c>
      <c r="C17" s="26">
        <v>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2</v>
      </c>
      <c r="J17" s="36">
        <f t="shared" si="0"/>
        <v>4</v>
      </c>
      <c r="K17">
        <v>88</v>
      </c>
      <c r="L17" s="9">
        <f t="shared" si="2"/>
        <v>151096</v>
      </c>
      <c r="M17">
        <f t="shared" ca="1" si="3"/>
        <v>92.711573502744855</v>
      </c>
      <c r="N17">
        <f t="shared" ca="1" si="1"/>
        <v>180.71157350274484</v>
      </c>
      <c r="O17">
        <f t="shared" ca="1" si="4"/>
        <v>7</v>
      </c>
      <c r="P17" s="6" t="str">
        <f t="shared" ca="1" si="5"/>
        <v>OK</v>
      </c>
      <c r="R17" s="35">
        <v>1</v>
      </c>
      <c r="S17">
        <v>8</v>
      </c>
    </row>
    <row r="18" spans="1:19" ht="18.75" x14ac:dyDescent="0.4">
      <c r="A18" s="22" t="s">
        <v>179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38">
        <f t="shared" si="0"/>
        <v>0</v>
      </c>
      <c r="K18">
        <v>85</v>
      </c>
      <c r="L18" s="9">
        <f t="shared" si="2"/>
        <v>145945</v>
      </c>
      <c r="M18">
        <f t="shared" ca="1" si="3"/>
        <v>90.478241239774519</v>
      </c>
      <c r="N18">
        <f t="shared" ca="1" si="1"/>
        <v>175.47824123977452</v>
      </c>
      <c r="O18">
        <f t="shared" ca="1" si="4"/>
        <v>10</v>
      </c>
      <c r="P18" s="6" t="str">
        <f t="shared" ca="1" si="5"/>
        <v>OK</v>
      </c>
      <c r="R18" s="35">
        <v>2</v>
      </c>
      <c r="S18">
        <v>6</v>
      </c>
    </row>
    <row r="19" spans="1:19" ht="18.75" x14ac:dyDescent="0.4">
      <c r="A19" s="22" t="s">
        <v>180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36">
        <f t="shared" si="0"/>
        <v>0</v>
      </c>
      <c r="K19">
        <v>84</v>
      </c>
      <c r="L19" s="9">
        <f t="shared" si="2"/>
        <v>144228</v>
      </c>
      <c r="M19">
        <f t="shared" ca="1" si="3"/>
        <v>87.330735624456651</v>
      </c>
      <c r="N19">
        <f t="shared" ca="1" si="1"/>
        <v>171.33073562445665</v>
      </c>
      <c r="O19">
        <f t="shared" ca="1" si="4"/>
        <v>16</v>
      </c>
      <c r="P19" s="6" t="str">
        <f t="shared" ca="1" si="5"/>
        <v>OK</v>
      </c>
      <c r="R19" s="35">
        <v>3</v>
      </c>
      <c r="S19">
        <v>4</v>
      </c>
    </row>
    <row r="20" spans="1:19" ht="18.75" x14ac:dyDescent="0.4">
      <c r="A20" s="22" t="s">
        <v>182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36">
        <f t="shared" si="0"/>
        <v>0</v>
      </c>
      <c r="K20">
        <v>84</v>
      </c>
      <c r="L20" s="9">
        <f t="shared" si="2"/>
        <v>144228</v>
      </c>
      <c r="M20">
        <f t="shared" ca="1" si="3"/>
        <v>87.554801456097195</v>
      </c>
      <c r="N20">
        <f t="shared" ca="1" si="1"/>
        <v>171.55480145609721</v>
      </c>
      <c r="O20">
        <f t="shared" ca="1" si="4"/>
        <v>15</v>
      </c>
      <c r="P20" s="6" t="str">
        <f t="shared" ca="1" si="5"/>
        <v>OK</v>
      </c>
      <c r="R20" s="35">
        <v>4</v>
      </c>
      <c r="S20">
        <v>3</v>
      </c>
    </row>
    <row r="21" spans="1:19" ht="18.75" x14ac:dyDescent="0.4">
      <c r="A21" s="22" t="s">
        <v>183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38">
        <f t="shared" si="0"/>
        <v>0</v>
      </c>
      <c r="K21">
        <v>86</v>
      </c>
      <c r="L21" s="9">
        <f t="shared" si="2"/>
        <v>147662</v>
      </c>
      <c r="M21">
        <f t="shared" ca="1" si="3"/>
        <v>87.08139395499235</v>
      </c>
      <c r="N21">
        <f t="shared" ca="1" si="1"/>
        <v>173.08139395499234</v>
      </c>
      <c r="O21">
        <f t="shared" ca="1" si="4"/>
        <v>13</v>
      </c>
      <c r="P21" s="6" t="str">
        <f t="shared" ca="1" si="5"/>
        <v>OK</v>
      </c>
      <c r="R21" s="35">
        <v>5</v>
      </c>
      <c r="S21">
        <v>2</v>
      </c>
    </row>
    <row r="22" spans="1:19" ht="18.75" x14ac:dyDescent="0.4">
      <c r="A22" s="22" t="s">
        <v>185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38">
        <f t="shared" si="0"/>
        <v>0</v>
      </c>
      <c r="K22">
        <v>84</v>
      </c>
      <c r="L22" s="9">
        <f t="shared" si="2"/>
        <v>144228</v>
      </c>
      <c r="M22">
        <f t="shared" ca="1" si="3"/>
        <v>87.284912417211302</v>
      </c>
      <c r="N22">
        <f t="shared" ca="1" si="1"/>
        <v>171.2849124172113</v>
      </c>
      <c r="O22">
        <f t="shared" ca="1" si="4"/>
        <v>17</v>
      </c>
      <c r="P22" s="6" t="str">
        <f t="shared" ca="1" si="5"/>
        <v>OK</v>
      </c>
      <c r="R22" s="35">
        <v>6</v>
      </c>
      <c r="S22">
        <v>1</v>
      </c>
    </row>
    <row r="23" spans="1:19" ht="18.75" x14ac:dyDescent="0.4">
      <c r="A23" s="22" t="s">
        <v>186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 t="s">
        <v>188</v>
      </c>
      <c r="J23" s="36">
        <f t="shared" si="0"/>
        <v>0</v>
      </c>
      <c r="K23">
        <v>84</v>
      </c>
      <c r="L23" s="9">
        <f t="shared" si="2"/>
        <v>144228</v>
      </c>
      <c r="M23">
        <f t="shared" ca="1" si="3"/>
        <v>87.079574359885441</v>
      </c>
      <c r="N23">
        <f t="shared" ca="1" si="1"/>
        <v>171.07957435988544</v>
      </c>
      <c r="O23">
        <f t="shared" ca="1" si="4"/>
        <v>18</v>
      </c>
      <c r="P23" s="6" t="str">
        <f t="shared" ca="1" si="5"/>
        <v>OK</v>
      </c>
      <c r="R23" s="35">
        <v>7</v>
      </c>
      <c r="S23">
        <v>0</v>
      </c>
    </row>
    <row r="24" spans="1:19" x14ac:dyDescent="0.25">
      <c r="K24">
        <f>SUM(K4:K23)</f>
        <v>1717</v>
      </c>
      <c r="R24" s="35">
        <v>8</v>
      </c>
      <c r="S24">
        <v>0</v>
      </c>
    </row>
    <row r="25" spans="1:19" x14ac:dyDescent="0.25">
      <c r="R25" s="35">
        <v>9</v>
      </c>
      <c r="S25">
        <v>0</v>
      </c>
    </row>
    <row r="26" spans="1:19" x14ac:dyDescent="0.25">
      <c r="R26" s="35">
        <v>10</v>
      </c>
      <c r="S26">
        <v>0</v>
      </c>
    </row>
  </sheetData>
  <sortState xmlns:xlrd2="http://schemas.microsoft.com/office/spreadsheetml/2017/richdata2" ref="B4:K23">
    <sortCondition descending="1" ref="J4:J23"/>
  </sortState>
  <phoneticPr fontId="11" type="noConversion"/>
  <conditionalFormatting sqref="B3:I23">
    <cfRule type="containsText" dxfId="75" priority="1" operator="containsText" text="DNF">
      <formula>NOT(ISERROR(SEARCH("DNF",B3)))</formula>
    </cfRule>
  </conditionalFormatting>
  <conditionalFormatting sqref="E15">
    <cfRule type="containsText" dxfId="74" priority="2" operator="containsText" text="DNF">
      <formula>NOT(ISERROR(SEARCH("DNF",E15)))</formula>
    </cfRule>
  </conditionalFormatting>
  <conditionalFormatting sqref="O4:O23">
    <cfRule type="cellIs" dxfId="73" priority="4" operator="equal">
      <formula>1</formula>
    </cfRule>
  </conditionalFormatting>
  <conditionalFormatting sqref="P4:P23">
    <cfRule type="containsText" dxfId="72" priority="3" operator="containsText" text="DNF">
      <formula>NOT(ISERROR(SEARCH("DNF",P4)))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5"/>
  <dimension ref="A1:T35"/>
  <sheetViews>
    <sheetView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8" width="16" customWidth="1"/>
  </cols>
  <sheetData>
    <row r="1" spans="1:17" ht="21" x14ac:dyDescent="0.35">
      <c r="A1" s="1" t="s">
        <v>57</v>
      </c>
    </row>
    <row r="3" spans="1:17" x14ac:dyDescent="0.25">
      <c r="A3" s="2" t="s">
        <v>6</v>
      </c>
      <c r="B3" s="7" t="s">
        <v>196</v>
      </c>
      <c r="C3" s="7" t="s">
        <v>141</v>
      </c>
      <c r="D3" s="7" t="s">
        <v>197</v>
      </c>
      <c r="E3" s="7" t="s">
        <v>143</v>
      </c>
      <c r="F3" s="7" t="s">
        <v>144</v>
      </c>
      <c r="G3" s="7" t="s">
        <v>139</v>
      </c>
      <c r="H3" s="7" t="s">
        <v>160</v>
      </c>
      <c r="I3" s="7" t="s">
        <v>142</v>
      </c>
      <c r="J3" s="7" t="s">
        <v>145</v>
      </c>
      <c r="K3" s="2" t="s">
        <v>18</v>
      </c>
      <c r="L3" s="4" t="s">
        <v>19</v>
      </c>
      <c r="M3" s="4" t="s">
        <v>158</v>
      </c>
      <c r="N3" s="4" t="s">
        <v>20</v>
      </c>
      <c r="O3" s="4" t="s">
        <v>21</v>
      </c>
      <c r="P3" s="4" t="s">
        <v>22</v>
      </c>
      <c r="Q3" t="s">
        <v>187</v>
      </c>
    </row>
    <row r="4" spans="1:17" ht="18.75" x14ac:dyDescent="0.4">
      <c r="A4" s="22" t="s">
        <v>134</v>
      </c>
      <c r="B4" s="26">
        <v>4</v>
      </c>
      <c r="C4" s="26">
        <v>0</v>
      </c>
      <c r="D4" s="26">
        <v>6</v>
      </c>
      <c r="E4" s="29">
        <v>8</v>
      </c>
      <c r="F4" s="26">
        <v>6</v>
      </c>
      <c r="G4" s="29">
        <v>9</v>
      </c>
      <c r="H4" s="29" t="s">
        <v>188</v>
      </c>
      <c r="I4" s="26">
        <v>7</v>
      </c>
      <c r="J4" s="29">
        <v>9</v>
      </c>
      <c r="K4" s="38">
        <f t="shared" ref="K4:K23" si="0">SUM(B4:J4)</f>
        <v>49</v>
      </c>
      <c r="L4">
        <v>97</v>
      </c>
      <c r="M4" s="9">
        <f>L4*$L$24</f>
        <v>178965</v>
      </c>
      <c r="N4">
        <f ca="1">L4+RAND()*6</f>
        <v>98.405028288011422</v>
      </c>
      <c r="O4">
        <f t="shared" ref="O4:O23" ca="1" si="1">L4+N4</f>
        <v>195.40502828801141</v>
      </c>
      <c r="P4">
        <f ca="1">RANK(O4,$O$4:$O$23,0)</f>
        <v>2</v>
      </c>
      <c r="Q4" s="6" t="str">
        <f ca="1">IF(RAND()&lt;0.08,"DNF","OK")</f>
        <v>OK</v>
      </c>
    </row>
    <row r="5" spans="1:17" ht="18.75" x14ac:dyDescent="0.4">
      <c r="A5" s="22" t="s">
        <v>131</v>
      </c>
      <c r="B5" s="29">
        <v>8</v>
      </c>
      <c r="C5" s="26">
        <v>0</v>
      </c>
      <c r="D5" s="29">
        <v>8</v>
      </c>
      <c r="E5" s="26">
        <v>7</v>
      </c>
      <c r="F5" s="26">
        <v>4</v>
      </c>
      <c r="G5" s="26">
        <v>6</v>
      </c>
      <c r="H5" s="29">
        <v>8</v>
      </c>
      <c r="I5" s="26">
        <v>2</v>
      </c>
      <c r="J5" s="26">
        <v>4</v>
      </c>
      <c r="K5" s="38">
        <f t="shared" si="0"/>
        <v>47</v>
      </c>
      <c r="L5">
        <v>96</v>
      </c>
      <c r="M5" s="9">
        <f t="shared" ref="M5:M23" si="2">L5*$L$24</f>
        <v>177120</v>
      </c>
      <c r="N5">
        <f t="shared" ref="N5:N23" ca="1" si="3">L5+RAND()*6</f>
        <v>96.969195177442955</v>
      </c>
      <c r="O5">
        <f t="shared" ca="1" si="1"/>
        <v>192.96919517744294</v>
      </c>
      <c r="P5">
        <f t="shared" ref="P5:P23" ca="1" si="4">RANK(O5,$O$4:$O$23,0)</f>
        <v>5</v>
      </c>
      <c r="Q5" s="6" t="str">
        <f t="shared" ref="Q5:Q23" ca="1" si="5">IF(RAND()&lt;0.08,"DNF","OK")</f>
        <v>DNF</v>
      </c>
    </row>
    <row r="6" spans="1:17" ht="18.75" x14ac:dyDescent="0.4">
      <c r="A6" s="22" t="s">
        <v>195</v>
      </c>
      <c r="B6" s="26">
        <v>7</v>
      </c>
      <c r="C6" s="26">
        <v>0</v>
      </c>
      <c r="D6" s="26">
        <v>4</v>
      </c>
      <c r="E6" s="26" t="s">
        <v>188</v>
      </c>
      <c r="F6" s="29">
        <v>9</v>
      </c>
      <c r="G6" s="26">
        <v>3</v>
      </c>
      <c r="H6" s="26" t="s">
        <v>188</v>
      </c>
      <c r="I6" s="29">
        <v>8</v>
      </c>
      <c r="J6" s="26">
        <v>6</v>
      </c>
      <c r="K6" s="38">
        <f t="shared" si="0"/>
        <v>37</v>
      </c>
      <c r="L6">
        <v>96</v>
      </c>
      <c r="M6" s="9">
        <f t="shared" si="2"/>
        <v>177120</v>
      </c>
      <c r="N6">
        <f t="shared" ca="1" si="3"/>
        <v>97.083467870484554</v>
      </c>
      <c r="O6">
        <f t="shared" ca="1" si="1"/>
        <v>193.08346787048455</v>
      </c>
      <c r="P6">
        <f t="shared" ca="1" si="4"/>
        <v>4</v>
      </c>
      <c r="Q6" s="6" t="str">
        <f t="shared" ca="1" si="5"/>
        <v>OK</v>
      </c>
    </row>
    <row r="7" spans="1:17" ht="18.75" x14ac:dyDescent="0.4">
      <c r="A7" s="22" t="s">
        <v>130</v>
      </c>
      <c r="B7" s="26" t="s">
        <v>188</v>
      </c>
      <c r="C7" s="26">
        <v>0</v>
      </c>
      <c r="D7" s="26">
        <v>3</v>
      </c>
      <c r="E7" s="26">
        <v>4</v>
      </c>
      <c r="F7" s="26">
        <v>3</v>
      </c>
      <c r="G7" s="26">
        <v>4</v>
      </c>
      <c r="H7" s="26">
        <v>7</v>
      </c>
      <c r="I7" s="26">
        <v>4</v>
      </c>
      <c r="J7" s="26">
        <v>1</v>
      </c>
      <c r="K7" s="38">
        <f t="shared" si="0"/>
        <v>26</v>
      </c>
      <c r="L7">
        <v>95</v>
      </c>
      <c r="M7" s="9">
        <f t="shared" si="2"/>
        <v>175275</v>
      </c>
      <c r="N7">
        <f t="shared" ca="1" si="3"/>
        <v>100.87297719128431</v>
      </c>
      <c r="O7">
        <f t="shared" ca="1" si="1"/>
        <v>195.87297719128429</v>
      </c>
      <c r="P7">
        <f t="shared" ca="1" si="4"/>
        <v>1</v>
      </c>
      <c r="Q7" s="6" t="str">
        <f t="shared" ca="1" si="5"/>
        <v>OK</v>
      </c>
    </row>
    <row r="8" spans="1:17" ht="18.75" x14ac:dyDescent="0.4">
      <c r="A8" s="22" t="s">
        <v>155</v>
      </c>
      <c r="B8" s="26">
        <v>1</v>
      </c>
      <c r="C8" s="26">
        <v>0</v>
      </c>
      <c r="D8" s="26">
        <v>1</v>
      </c>
      <c r="E8" s="26">
        <v>3</v>
      </c>
      <c r="F8" s="26">
        <v>0</v>
      </c>
      <c r="G8" s="26">
        <v>0</v>
      </c>
      <c r="H8" s="26" t="s">
        <v>188</v>
      </c>
      <c r="I8" s="26">
        <v>3</v>
      </c>
      <c r="J8" s="26">
        <v>3</v>
      </c>
      <c r="K8" s="38">
        <f t="shared" si="0"/>
        <v>11</v>
      </c>
      <c r="L8">
        <v>95</v>
      </c>
      <c r="M8" s="9">
        <f t="shared" si="2"/>
        <v>175275</v>
      </c>
      <c r="N8">
        <f t="shared" ca="1" si="3"/>
        <v>98.562554263892835</v>
      </c>
      <c r="O8">
        <f t="shared" ca="1" si="1"/>
        <v>193.56255426389282</v>
      </c>
      <c r="P8">
        <f t="shared" ca="1" si="4"/>
        <v>3</v>
      </c>
      <c r="Q8" s="6" t="str">
        <f t="shared" ca="1" si="5"/>
        <v>OK</v>
      </c>
    </row>
    <row r="9" spans="1:17" ht="18.75" x14ac:dyDescent="0.4">
      <c r="A9" s="22" t="s">
        <v>189</v>
      </c>
      <c r="B9" s="26">
        <v>0</v>
      </c>
      <c r="C9" s="29">
        <v>9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38">
        <f t="shared" si="0"/>
        <v>9</v>
      </c>
      <c r="L9">
        <v>70</v>
      </c>
      <c r="M9" s="9">
        <f t="shared" si="2"/>
        <v>129150</v>
      </c>
      <c r="N9">
        <f t="shared" ca="1" si="3"/>
        <v>70.585078278818273</v>
      </c>
      <c r="O9">
        <f t="shared" ca="1" si="1"/>
        <v>140.58507827881829</v>
      </c>
      <c r="P9">
        <f t="shared" ca="1" si="4"/>
        <v>20</v>
      </c>
      <c r="Q9" s="6" t="str">
        <f t="shared" ca="1" si="5"/>
        <v>OK</v>
      </c>
    </row>
    <row r="10" spans="1:17" ht="18.75" x14ac:dyDescent="0.4">
      <c r="A10" s="22" t="s">
        <v>184</v>
      </c>
      <c r="B10" s="26">
        <v>2</v>
      </c>
      <c r="C10" s="26">
        <v>0</v>
      </c>
      <c r="D10" s="26">
        <v>1</v>
      </c>
      <c r="E10" s="26" t="s">
        <v>188</v>
      </c>
      <c r="F10" s="26">
        <v>2</v>
      </c>
      <c r="G10" s="26">
        <v>1</v>
      </c>
      <c r="H10" s="26" t="s">
        <v>188</v>
      </c>
      <c r="I10" s="26">
        <v>1</v>
      </c>
      <c r="J10" s="26">
        <v>0</v>
      </c>
      <c r="K10" s="38">
        <f t="shared" si="0"/>
        <v>7</v>
      </c>
      <c r="L10">
        <v>94</v>
      </c>
      <c r="M10" s="9">
        <f t="shared" si="2"/>
        <v>173430</v>
      </c>
      <c r="N10">
        <f t="shared" ca="1" si="3"/>
        <v>95.828978934824917</v>
      </c>
      <c r="O10">
        <f t="shared" ca="1" si="1"/>
        <v>189.82897893482493</v>
      </c>
      <c r="P10">
        <f t="shared" ca="1" si="4"/>
        <v>10</v>
      </c>
      <c r="Q10" s="6" t="str">
        <f t="shared" ca="1" si="5"/>
        <v>OK</v>
      </c>
    </row>
    <row r="11" spans="1:17" ht="18.75" x14ac:dyDescent="0.4">
      <c r="A11" s="22" t="s">
        <v>174</v>
      </c>
      <c r="B11" s="26">
        <v>0</v>
      </c>
      <c r="C11" s="26">
        <v>6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 t="s">
        <v>188</v>
      </c>
      <c r="K11" s="38">
        <f t="shared" si="0"/>
        <v>6</v>
      </c>
      <c r="L11">
        <v>91</v>
      </c>
      <c r="M11" s="9">
        <f t="shared" si="2"/>
        <v>167895</v>
      </c>
      <c r="N11">
        <f t="shared" ca="1" si="3"/>
        <v>95.627383362788507</v>
      </c>
      <c r="O11">
        <f t="shared" ca="1" si="1"/>
        <v>186.62738336278852</v>
      </c>
      <c r="P11">
        <f t="shared" ca="1" si="4"/>
        <v>17</v>
      </c>
      <c r="Q11" s="6" t="str">
        <f t="shared" ca="1" si="5"/>
        <v>OK</v>
      </c>
    </row>
    <row r="12" spans="1:17" ht="18.75" x14ac:dyDescent="0.4">
      <c r="A12" s="22" t="s">
        <v>183</v>
      </c>
      <c r="B12" s="26">
        <v>0</v>
      </c>
      <c r="C12" s="26">
        <v>2</v>
      </c>
      <c r="D12" s="26">
        <v>0</v>
      </c>
      <c r="E12" s="26">
        <v>0</v>
      </c>
      <c r="F12" s="26">
        <v>0</v>
      </c>
      <c r="G12" s="26">
        <v>2</v>
      </c>
      <c r="H12" s="26">
        <v>2</v>
      </c>
      <c r="I12" s="26">
        <v>0</v>
      </c>
      <c r="J12" s="26">
        <v>0</v>
      </c>
      <c r="K12" s="38">
        <f t="shared" si="0"/>
        <v>6</v>
      </c>
      <c r="L12">
        <v>93</v>
      </c>
      <c r="M12" s="9">
        <f t="shared" si="2"/>
        <v>171585</v>
      </c>
      <c r="N12">
        <f t="shared" ca="1" si="3"/>
        <v>93.966077088681743</v>
      </c>
      <c r="O12">
        <f t="shared" ca="1" si="1"/>
        <v>186.96607708868174</v>
      </c>
      <c r="P12">
        <f t="shared" ca="1" si="4"/>
        <v>16</v>
      </c>
      <c r="Q12" s="6" t="str">
        <f t="shared" ca="1" si="5"/>
        <v>OK</v>
      </c>
    </row>
    <row r="13" spans="1:17" ht="18.75" x14ac:dyDescent="0.4">
      <c r="A13" s="22" t="s">
        <v>168</v>
      </c>
      <c r="B13" s="26">
        <v>3</v>
      </c>
      <c r="C13" s="26">
        <v>0</v>
      </c>
      <c r="D13" s="26">
        <v>0</v>
      </c>
      <c r="E13" s="26">
        <v>1</v>
      </c>
      <c r="F13" s="26">
        <v>1</v>
      </c>
      <c r="G13" s="26">
        <v>0</v>
      </c>
      <c r="H13" s="26">
        <v>0</v>
      </c>
      <c r="I13" s="26">
        <v>0</v>
      </c>
      <c r="J13" s="26">
        <v>0</v>
      </c>
      <c r="K13" s="38">
        <f t="shared" si="0"/>
        <v>5</v>
      </c>
      <c r="L13">
        <v>94</v>
      </c>
      <c r="M13" s="9">
        <f t="shared" si="2"/>
        <v>173430</v>
      </c>
      <c r="N13">
        <f t="shared" ca="1" si="3"/>
        <v>97.263580590221665</v>
      </c>
      <c r="O13">
        <f t="shared" ca="1" si="1"/>
        <v>191.26358059022166</v>
      </c>
      <c r="P13">
        <f t="shared" ca="1" si="4"/>
        <v>7</v>
      </c>
      <c r="Q13" s="6" t="str">
        <f t="shared" ca="1" si="5"/>
        <v>OK</v>
      </c>
    </row>
    <row r="14" spans="1:17" ht="18.75" x14ac:dyDescent="0.4">
      <c r="A14" s="22" t="s">
        <v>162</v>
      </c>
      <c r="B14" s="26">
        <v>0</v>
      </c>
      <c r="C14" s="26">
        <v>2</v>
      </c>
      <c r="D14" s="26">
        <v>0</v>
      </c>
      <c r="E14" s="26">
        <v>0</v>
      </c>
      <c r="F14" s="26">
        <v>0</v>
      </c>
      <c r="G14" s="26">
        <v>0</v>
      </c>
      <c r="H14" s="26">
        <v>3</v>
      </c>
      <c r="I14" s="26">
        <v>0</v>
      </c>
      <c r="J14" s="26">
        <v>0</v>
      </c>
      <c r="K14" s="38">
        <f t="shared" si="0"/>
        <v>5</v>
      </c>
      <c r="L14">
        <v>93</v>
      </c>
      <c r="M14" s="9">
        <f t="shared" si="2"/>
        <v>171585</v>
      </c>
      <c r="N14">
        <f t="shared" ca="1" si="3"/>
        <v>94.749704262013665</v>
      </c>
      <c r="O14">
        <f t="shared" ca="1" si="1"/>
        <v>187.74970426201367</v>
      </c>
      <c r="P14">
        <f t="shared" ca="1" si="4"/>
        <v>15</v>
      </c>
      <c r="Q14" s="6" t="str">
        <f t="shared" ca="1" si="5"/>
        <v>OK</v>
      </c>
    </row>
    <row r="15" spans="1:17" ht="18.75" x14ac:dyDescent="0.4">
      <c r="A15" s="22" t="s">
        <v>181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 t="s">
        <v>188</v>
      </c>
      <c r="H15" s="26">
        <v>4</v>
      </c>
      <c r="I15" s="26">
        <v>0</v>
      </c>
      <c r="J15" s="26">
        <v>0</v>
      </c>
      <c r="K15" s="38">
        <f t="shared" si="0"/>
        <v>4</v>
      </c>
      <c r="L15">
        <v>93</v>
      </c>
      <c r="M15" s="9">
        <f t="shared" si="2"/>
        <v>171585</v>
      </c>
      <c r="N15">
        <f t="shared" ca="1" si="3"/>
        <v>95.794894678221539</v>
      </c>
      <c r="O15">
        <f t="shared" ca="1" si="1"/>
        <v>188.79489467822154</v>
      </c>
      <c r="P15">
        <f t="shared" ca="1" si="4"/>
        <v>13</v>
      </c>
      <c r="Q15" s="6" t="str">
        <f t="shared" ca="1" si="5"/>
        <v>OK</v>
      </c>
    </row>
    <row r="16" spans="1:17" ht="18.75" x14ac:dyDescent="0.4">
      <c r="A16" s="22" t="s">
        <v>178</v>
      </c>
      <c r="B16" s="26">
        <v>0</v>
      </c>
      <c r="C16" s="26">
        <v>0</v>
      </c>
      <c r="D16" s="26">
        <v>0</v>
      </c>
      <c r="E16" s="26">
        <v>2</v>
      </c>
      <c r="F16" s="26">
        <v>0</v>
      </c>
      <c r="G16" s="26">
        <v>0</v>
      </c>
      <c r="H16" s="26" t="s">
        <v>188</v>
      </c>
      <c r="I16" s="26">
        <v>0</v>
      </c>
      <c r="J16" s="26">
        <v>2</v>
      </c>
      <c r="K16" s="38">
        <f t="shared" si="0"/>
        <v>4</v>
      </c>
      <c r="L16">
        <v>94</v>
      </c>
      <c r="M16" s="9">
        <f t="shared" si="2"/>
        <v>173430</v>
      </c>
      <c r="N16">
        <f t="shared" ca="1" si="3"/>
        <v>96.755641791915437</v>
      </c>
      <c r="O16">
        <f t="shared" ca="1" si="1"/>
        <v>190.75564179191542</v>
      </c>
      <c r="P16">
        <f t="shared" ca="1" si="4"/>
        <v>9</v>
      </c>
      <c r="Q16" s="6" t="str">
        <f t="shared" ca="1" si="5"/>
        <v>OK</v>
      </c>
    </row>
    <row r="17" spans="1:20" ht="18.75" x14ac:dyDescent="0.4">
      <c r="A17" s="22" t="s">
        <v>191</v>
      </c>
      <c r="B17" s="26">
        <v>0</v>
      </c>
      <c r="C17" s="26">
        <v>2</v>
      </c>
      <c r="D17" s="26" t="s">
        <v>188</v>
      </c>
      <c r="E17" s="26">
        <v>0</v>
      </c>
      <c r="F17" s="26">
        <v>0</v>
      </c>
      <c r="G17" s="26">
        <v>0</v>
      </c>
      <c r="H17" s="26" t="s">
        <v>188</v>
      </c>
      <c r="I17" s="26" t="s">
        <v>188</v>
      </c>
      <c r="J17" s="26">
        <v>0</v>
      </c>
      <c r="K17" s="38">
        <f t="shared" si="0"/>
        <v>2</v>
      </c>
      <c r="L17">
        <v>93</v>
      </c>
      <c r="M17" s="9">
        <f t="shared" si="2"/>
        <v>171585</v>
      </c>
      <c r="N17">
        <f t="shared" ca="1" si="3"/>
        <v>98.498455267516576</v>
      </c>
      <c r="O17">
        <f t="shared" ca="1" si="1"/>
        <v>191.49845526751659</v>
      </c>
      <c r="P17">
        <f t="shared" ca="1" si="4"/>
        <v>6</v>
      </c>
      <c r="Q17" s="6" t="str">
        <f t="shared" ca="1" si="5"/>
        <v>OK</v>
      </c>
    </row>
    <row r="18" spans="1:20" ht="18.75" x14ac:dyDescent="0.4">
      <c r="A18" s="22" t="s">
        <v>193</v>
      </c>
      <c r="B18" s="26" t="s">
        <v>188</v>
      </c>
      <c r="C18" s="26">
        <v>0</v>
      </c>
      <c r="D18" s="26">
        <v>2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38">
        <f t="shared" si="0"/>
        <v>2</v>
      </c>
      <c r="L18">
        <v>93</v>
      </c>
      <c r="M18" s="9">
        <f t="shared" si="2"/>
        <v>171585</v>
      </c>
      <c r="N18">
        <f t="shared" ca="1" si="3"/>
        <v>97.889320682051803</v>
      </c>
      <c r="O18">
        <f t="shared" ca="1" si="1"/>
        <v>190.88932068205179</v>
      </c>
      <c r="P18">
        <f t="shared" ca="1" si="4"/>
        <v>8</v>
      </c>
      <c r="Q18" s="6" t="str">
        <f t="shared" ca="1" si="5"/>
        <v>OK</v>
      </c>
    </row>
    <row r="19" spans="1:20" ht="18.75" x14ac:dyDescent="0.4">
      <c r="A19" s="22" t="s">
        <v>194</v>
      </c>
      <c r="B19" s="26">
        <v>0</v>
      </c>
      <c r="C19" s="26">
        <v>1.5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 t="s">
        <v>188</v>
      </c>
      <c r="K19" s="38">
        <f t="shared" si="0"/>
        <v>1.5</v>
      </c>
      <c r="L19">
        <v>92</v>
      </c>
      <c r="M19" s="9">
        <f t="shared" si="2"/>
        <v>169740</v>
      </c>
      <c r="N19">
        <f t="shared" ca="1" si="3"/>
        <v>96.21227922614078</v>
      </c>
      <c r="O19">
        <f t="shared" ca="1" si="1"/>
        <v>188.21227922614077</v>
      </c>
      <c r="P19">
        <f t="shared" ca="1" si="4"/>
        <v>14</v>
      </c>
      <c r="Q19" s="6" t="str">
        <f t="shared" ca="1" si="5"/>
        <v>OK</v>
      </c>
    </row>
    <row r="20" spans="1:20" ht="18.75" x14ac:dyDescent="0.4">
      <c r="A20" s="22" t="s">
        <v>169</v>
      </c>
      <c r="B20" s="26">
        <v>0</v>
      </c>
      <c r="C20" s="26">
        <v>1.5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38">
        <f t="shared" si="0"/>
        <v>1.5</v>
      </c>
      <c r="L20">
        <v>91</v>
      </c>
      <c r="M20" s="9">
        <f t="shared" si="2"/>
        <v>167895</v>
      </c>
      <c r="N20">
        <f t="shared" ca="1" si="3"/>
        <v>91.373408376538606</v>
      </c>
      <c r="O20">
        <f t="shared" ca="1" si="1"/>
        <v>182.37340837653861</v>
      </c>
      <c r="P20">
        <f t="shared" ca="1" si="4"/>
        <v>19</v>
      </c>
      <c r="Q20" s="6" t="str">
        <f t="shared" ca="1" si="5"/>
        <v>OK</v>
      </c>
    </row>
    <row r="21" spans="1:20" ht="18.75" x14ac:dyDescent="0.4">
      <c r="A21" s="22" t="s">
        <v>151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1</v>
      </c>
      <c r="I21" s="26">
        <v>0</v>
      </c>
      <c r="J21" s="26">
        <v>0</v>
      </c>
      <c r="K21" s="38">
        <f t="shared" si="0"/>
        <v>1</v>
      </c>
      <c r="L21">
        <v>92</v>
      </c>
      <c r="M21" s="9">
        <f t="shared" si="2"/>
        <v>169740</v>
      </c>
      <c r="N21">
        <f t="shared" ca="1" si="3"/>
        <v>97.278169833568697</v>
      </c>
      <c r="O21">
        <f t="shared" ca="1" si="1"/>
        <v>189.27816983356871</v>
      </c>
      <c r="P21">
        <f t="shared" ca="1" si="4"/>
        <v>12</v>
      </c>
      <c r="Q21" s="6" t="str">
        <f t="shared" ca="1" si="5"/>
        <v>OK</v>
      </c>
    </row>
    <row r="22" spans="1:20" ht="18.75" x14ac:dyDescent="0.4">
      <c r="A22" s="22" t="s">
        <v>190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38">
        <f t="shared" si="0"/>
        <v>0</v>
      </c>
      <c r="L22">
        <v>92</v>
      </c>
      <c r="M22" s="9">
        <f t="shared" si="2"/>
        <v>169740</v>
      </c>
      <c r="N22">
        <f t="shared" ca="1" si="3"/>
        <v>97.545921040724622</v>
      </c>
      <c r="O22">
        <f t="shared" ca="1" si="1"/>
        <v>189.54592104072464</v>
      </c>
      <c r="P22">
        <f t="shared" ca="1" si="4"/>
        <v>11</v>
      </c>
      <c r="Q22" s="6" t="str">
        <f t="shared" ca="1" si="5"/>
        <v>OK</v>
      </c>
    </row>
    <row r="23" spans="1:20" ht="18.75" x14ac:dyDescent="0.4">
      <c r="A23" s="22" t="s">
        <v>192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 t="s">
        <v>188</v>
      </c>
      <c r="K23" s="38">
        <f t="shared" si="0"/>
        <v>0</v>
      </c>
      <c r="L23">
        <v>91</v>
      </c>
      <c r="M23" s="9">
        <f t="shared" si="2"/>
        <v>167895</v>
      </c>
      <c r="N23">
        <f t="shared" ca="1" si="3"/>
        <v>91.842838868272878</v>
      </c>
      <c r="O23">
        <f t="shared" ca="1" si="1"/>
        <v>182.84283886827288</v>
      </c>
      <c r="P23">
        <f t="shared" ca="1" si="4"/>
        <v>18</v>
      </c>
      <c r="Q23" s="6" t="str">
        <f t="shared" ca="1" si="5"/>
        <v>OK</v>
      </c>
    </row>
    <row r="24" spans="1:20" ht="18.75" x14ac:dyDescent="0.4">
      <c r="B24" s="43"/>
      <c r="C24" s="43"/>
      <c r="D24" s="43"/>
      <c r="E24" s="43"/>
      <c r="F24" s="43"/>
      <c r="G24" s="43"/>
      <c r="H24" s="43"/>
      <c r="I24" s="43"/>
      <c r="J24" s="11"/>
      <c r="L24">
        <f>SUM('1953'!$L$4:$L$23)</f>
        <v>1845</v>
      </c>
      <c r="M24" s="9"/>
      <c r="Q24" s="6"/>
    </row>
    <row r="26" spans="1:20" x14ac:dyDescent="0.25">
      <c r="S26">
        <v>1</v>
      </c>
      <c r="T26">
        <v>8</v>
      </c>
    </row>
    <row r="27" spans="1:20" x14ac:dyDescent="0.25">
      <c r="S27">
        <v>2</v>
      </c>
      <c r="T27">
        <v>6</v>
      </c>
    </row>
    <row r="28" spans="1:20" x14ac:dyDescent="0.25">
      <c r="S28">
        <v>3</v>
      </c>
      <c r="T28">
        <v>4</v>
      </c>
    </row>
    <row r="29" spans="1:20" x14ac:dyDescent="0.25">
      <c r="S29">
        <v>4</v>
      </c>
      <c r="T29">
        <v>3</v>
      </c>
    </row>
    <row r="30" spans="1:20" x14ac:dyDescent="0.25">
      <c r="S30">
        <v>5</v>
      </c>
      <c r="T30">
        <v>2</v>
      </c>
    </row>
    <row r="31" spans="1:20" x14ac:dyDescent="0.25">
      <c r="S31">
        <v>6</v>
      </c>
      <c r="T31">
        <v>1</v>
      </c>
    </row>
    <row r="32" spans="1:20" x14ac:dyDescent="0.25">
      <c r="S32">
        <v>7</v>
      </c>
      <c r="T32">
        <v>0</v>
      </c>
    </row>
    <row r="33" spans="19:20" x14ac:dyDescent="0.25">
      <c r="S33">
        <v>8</v>
      </c>
      <c r="T33">
        <v>0</v>
      </c>
    </row>
    <row r="34" spans="19:20" x14ac:dyDescent="0.25">
      <c r="S34">
        <v>9</v>
      </c>
      <c r="T34">
        <v>0</v>
      </c>
    </row>
    <row r="35" spans="19:20" x14ac:dyDescent="0.25">
      <c r="S35">
        <v>10</v>
      </c>
      <c r="T35">
        <v>0</v>
      </c>
    </row>
  </sheetData>
  <sortState xmlns:xlrd2="http://schemas.microsoft.com/office/spreadsheetml/2017/richdata2" ref="A4:L23">
    <sortCondition descending="1" ref="K4:K23"/>
  </sortState>
  <conditionalFormatting sqref="B4:J24">
    <cfRule type="containsText" dxfId="71" priority="1" operator="containsText" text="DNF">
      <formula>NOT(ISERROR(SEARCH("DNF",B4)))</formula>
    </cfRule>
  </conditionalFormatting>
  <conditionalFormatting sqref="P4:P23">
    <cfRule type="cellIs" dxfId="70" priority="8" operator="equal">
      <formula>1</formula>
    </cfRule>
  </conditionalFormatting>
  <conditionalFormatting sqref="Q4:Q23">
    <cfRule type="containsText" dxfId="69" priority="7" operator="containsText" text="DNF">
      <formula>NOT(ISERROR(SEARCH("DNF",Q4)))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6"/>
  <dimension ref="A1:T29"/>
  <sheetViews>
    <sheetView workbookViewId="0">
      <pane ySplit="3" topLeftCell="A4" activePane="bottomLeft" state="frozen"/>
      <selection pane="bottomLeft" activeCell="G4" sqref="G4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58</v>
      </c>
    </row>
    <row r="3" spans="1:20" ht="15.75" thickBot="1" x14ac:dyDescent="0.3">
      <c r="A3" s="7" t="s">
        <v>6</v>
      </c>
      <c r="B3" s="16" t="s">
        <v>196</v>
      </c>
      <c r="C3" s="16" t="s">
        <v>141</v>
      </c>
      <c r="D3" s="16" t="s">
        <v>143</v>
      </c>
      <c r="E3" s="16" t="s">
        <v>144</v>
      </c>
      <c r="F3" s="16" t="s">
        <v>139</v>
      </c>
      <c r="G3" s="16" t="s">
        <v>160</v>
      </c>
      <c r="H3" s="16" t="s">
        <v>142</v>
      </c>
      <c r="I3" s="16" t="s">
        <v>145</v>
      </c>
      <c r="J3" s="16" t="s">
        <v>161</v>
      </c>
      <c r="K3" s="16" t="s">
        <v>18</v>
      </c>
      <c r="L3" s="17" t="s">
        <v>19</v>
      </c>
      <c r="M3" s="17" t="s">
        <v>158</v>
      </c>
      <c r="N3" s="17" t="s">
        <v>20</v>
      </c>
      <c r="O3" s="17" t="s">
        <v>21</v>
      </c>
      <c r="P3" s="17" t="s">
        <v>22</v>
      </c>
      <c r="Q3" s="44" t="s">
        <v>187</v>
      </c>
      <c r="S3" s="3" t="s">
        <v>23</v>
      </c>
    </row>
    <row r="4" spans="1:20" ht="20.25" thickTop="1" thickBot="1" x14ac:dyDescent="0.45">
      <c r="A4" s="22" t="s">
        <v>131</v>
      </c>
      <c r="B4" s="29">
        <v>9</v>
      </c>
      <c r="C4" s="26">
        <v>0</v>
      </c>
      <c r="D4" s="29">
        <v>9</v>
      </c>
      <c r="E4" s="29">
        <v>9</v>
      </c>
      <c r="F4" s="29">
        <v>9</v>
      </c>
      <c r="G4" s="29">
        <v>9</v>
      </c>
      <c r="H4" s="29">
        <v>9</v>
      </c>
      <c r="I4" s="26">
        <v>5</v>
      </c>
      <c r="J4" s="29">
        <v>9</v>
      </c>
      <c r="K4" s="38">
        <f t="shared" ref="K4:K29" si="0">SUM(B4:J4)</f>
        <v>68</v>
      </c>
      <c r="L4" s="20">
        <v>97</v>
      </c>
      <c r="M4" s="21">
        <f>L4*$L$24</f>
        <v>8730</v>
      </c>
      <c r="N4" s="20">
        <f ca="1">L4+RAND()*6</f>
        <v>99.888138742066317</v>
      </c>
      <c r="O4" s="20">
        <f ca="1">L4+N4</f>
        <v>196.8881387420663</v>
      </c>
      <c r="P4" s="49">
        <f ca="1">RANK(O4,$O$4:$O$29,0)</f>
        <v>1</v>
      </c>
      <c r="Q4" s="45" t="str">
        <f ca="1">IF(RAND()&lt;0.08,"DNF","OK")</f>
        <v>OK</v>
      </c>
      <c r="S4" t="s">
        <v>26</v>
      </c>
    </row>
    <row r="5" spans="1:20" ht="20.25" thickTop="1" thickBot="1" x14ac:dyDescent="0.45">
      <c r="A5" s="22" t="s">
        <v>155</v>
      </c>
      <c r="B5" s="26">
        <v>0</v>
      </c>
      <c r="C5" s="26">
        <v>0</v>
      </c>
      <c r="D5" s="26">
        <v>6</v>
      </c>
      <c r="E5" s="26">
        <v>6</v>
      </c>
      <c r="F5" s="26">
        <v>6</v>
      </c>
      <c r="G5" s="26">
        <v>4</v>
      </c>
      <c r="H5" s="26">
        <v>3</v>
      </c>
      <c r="I5" s="26">
        <v>3</v>
      </c>
      <c r="J5" s="26">
        <v>6</v>
      </c>
      <c r="K5" s="38">
        <f t="shared" si="0"/>
        <v>34</v>
      </c>
      <c r="L5" s="8">
        <v>95</v>
      </c>
      <c r="M5" s="24">
        <f t="shared" ref="M5:M29" si="1">L5*$L$24</f>
        <v>8550</v>
      </c>
      <c r="N5" s="8">
        <f t="shared" ref="N5:N29" ca="1" si="2">L5+RAND()*6</f>
        <v>98.262279622574894</v>
      </c>
      <c r="O5" s="8">
        <f t="shared" ref="O5:O29" ca="1" si="3">L5+N5</f>
        <v>193.26227962257491</v>
      </c>
      <c r="P5" s="49">
        <f t="shared" ref="P5:P29" ca="1" si="4">RANK(O5,$O$4:$O$29,0)</f>
        <v>2</v>
      </c>
      <c r="Q5" s="46" t="str">
        <f t="shared" ref="Q5:Q29" ca="1" si="5">IF(RAND()&lt;0.08,"DNF","OK")</f>
        <v>OK</v>
      </c>
      <c r="S5" t="s">
        <v>29</v>
      </c>
    </row>
    <row r="6" spans="1:20" ht="20.25" thickTop="1" thickBot="1" x14ac:dyDescent="0.45">
      <c r="A6" s="22" t="s">
        <v>130</v>
      </c>
      <c r="B6" s="26">
        <v>6</v>
      </c>
      <c r="C6" s="26">
        <v>0</v>
      </c>
      <c r="D6" s="26">
        <v>4</v>
      </c>
      <c r="E6" s="26" t="s">
        <v>188</v>
      </c>
      <c r="F6" s="26">
        <v>2</v>
      </c>
      <c r="G6" s="26">
        <v>6</v>
      </c>
      <c r="H6" s="26">
        <v>4</v>
      </c>
      <c r="I6" s="29">
        <v>8</v>
      </c>
      <c r="J6" s="26">
        <v>4</v>
      </c>
      <c r="K6" s="38">
        <f t="shared" si="0"/>
        <v>34</v>
      </c>
      <c r="L6" s="8">
        <v>95</v>
      </c>
      <c r="M6" s="28">
        <f t="shared" si="1"/>
        <v>8550</v>
      </c>
      <c r="N6" s="27">
        <f t="shared" ca="1" si="2"/>
        <v>97.147600461913811</v>
      </c>
      <c r="O6" s="27">
        <f t="shared" ca="1" si="3"/>
        <v>192.14760046191381</v>
      </c>
      <c r="P6" s="49">
        <f t="shared" ca="1" si="4"/>
        <v>5</v>
      </c>
      <c r="Q6" s="47" t="str">
        <f t="shared" ca="1" si="5"/>
        <v>OK</v>
      </c>
      <c r="S6" t="s">
        <v>32</v>
      </c>
    </row>
    <row r="7" spans="1:20" ht="20.25" thickTop="1" thickBot="1" x14ac:dyDescent="0.45">
      <c r="A7" s="22" t="s">
        <v>195</v>
      </c>
      <c r="B7" s="26">
        <v>4</v>
      </c>
      <c r="C7" s="26">
        <v>0</v>
      </c>
      <c r="D7" s="26">
        <v>2</v>
      </c>
      <c r="E7" s="26">
        <v>4</v>
      </c>
      <c r="F7" s="26">
        <v>3</v>
      </c>
      <c r="G7" s="26" t="s">
        <v>188</v>
      </c>
      <c r="H7" s="26">
        <v>6</v>
      </c>
      <c r="I7" s="26">
        <v>6</v>
      </c>
      <c r="J7" s="26">
        <v>3</v>
      </c>
      <c r="K7" s="38">
        <f t="shared" si="0"/>
        <v>28</v>
      </c>
      <c r="L7" s="27">
        <v>95</v>
      </c>
      <c r="M7" s="24">
        <f t="shared" si="1"/>
        <v>8550</v>
      </c>
      <c r="N7" s="8">
        <f t="shared" ca="1" si="2"/>
        <v>97.669071566050661</v>
      </c>
      <c r="O7" s="8">
        <f t="shared" ca="1" si="3"/>
        <v>192.66907156605066</v>
      </c>
      <c r="P7" s="49">
        <f t="shared" ca="1" si="4"/>
        <v>3</v>
      </c>
      <c r="Q7" s="46" t="str">
        <f t="shared" ca="1" si="5"/>
        <v>OK</v>
      </c>
      <c r="S7" t="s">
        <v>35</v>
      </c>
    </row>
    <row r="8" spans="1:20" ht="20.25" thickTop="1" thickBot="1" x14ac:dyDescent="0.45">
      <c r="A8" s="22" t="s">
        <v>202</v>
      </c>
      <c r="B8" s="26">
        <v>3</v>
      </c>
      <c r="C8" s="26">
        <v>0</v>
      </c>
      <c r="D8" s="26">
        <v>3</v>
      </c>
      <c r="E8" s="26">
        <v>3</v>
      </c>
      <c r="F8" s="26">
        <v>4</v>
      </c>
      <c r="G8" s="26">
        <v>3</v>
      </c>
      <c r="H8" s="26">
        <v>0</v>
      </c>
      <c r="I8" s="26">
        <v>2</v>
      </c>
      <c r="J8" s="26">
        <v>0</v>
      </c>
      <c r="K8" s="38">
        <f t="shared" si="0"/>
        <v>18</v>
      </c>
      <c r="L8" s="27">
        <v>94</v>
      </c>
      <c r="M8" s="28">
        <f t="shared" si="1"/>
        <v>8460</v>
      </c>
      <c r="N8" s="27">
        <f t="shared" ca="1" si="2"/>
        <v>98.146200642223562</v>
      </c>
      <c r="O8" s="27">
        <f t="shared" ca="1" si="3"/>
        <v>192.14620064222356</v>
      </c>
      <c r="P8" s="49">
        <f t="shared" ca="1" si="4"/>
        <v>6</v>
      </c>
      <c r="Q8" s="47" t="str">
        <f t="shared" ca="1" si="5"/>
        <v>OK</v>
      </c>
      <c r="S8" t="s">
        <v>38</v>
      </c>
    </row>
    <row r="9" spans="1:20" ht="20.25" thickTop="1" thickBot="1" x14ac:dyDescent="0.45">
      <c r="A9" s="22" t="s">
        <v>174</v>
      </c>
      <c r="B9" s="26">
        <v>0</v>
      </c>
      <c r="C9" s="26">
        <v>0</v>
      </c>
      <c r="D9" s="26">
        <v>6</v>
      </c>
      <c r="E9" s="26">
        <v>0</v>
      </c>
      <c r="F9" s="23">
        <v>1</v>
      </c>
      <c r="G9" s="26">
        <v>1</v>
      </c>
      <c r="H9" s="26">
        <v>0</v>
      </c>
      <c r="I9" s="23">
        <v>1</v>
      </c>
      <c r="J9" s="26">
        <v>1</v>
      </c>
      <c r="K9" s="38">
        <f t="shared" si="0"/>
        <v>10</v>
      </c>
      <c r="L9" s="27">
        <v>94</v>
      </c>
      <c r="M9" s="24">
        <f t="shared" si="1"/>
        <v>8460</v>
      </c>
      <c r="N9" s="8">
        <f t="shared" ca="1" si="2"/>
        <v>98.543260670716677</v>
      </c>
      <c r="O9" s="8">
        <f t="shared" ca="1" si="3"/>
        <v>192.54326067071668</v>
      </c>
      <c r="P9" s="49">
        <f t="shared" ca="1" si="4"/>
        <v>4</v>
      </c>
      <c r="Q9" s="46" t="str">
        <f t="shared" ca="1" si="5"/>
        <v>OK</v>
      </c>
    </row>
    <row r="10" spans="1:20" ht="20.25" thickTop="1" thickBot="1" x14ac:dyDescent="0.45">
      <c r="A10" s="22" t="s">
        <v>189</v>
      </c>
      <c r="B10" s="26">
        <v>0</v>
      </c>
      <c r="C10" s="29">
        <v>8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38">
        <f t="shared" si="0"/>
        <v>8</v>
      </c>
      <c r="L10" s="8">
        <v>70</v>
      </c>
      <c r="M10" s="28">
        <f t="shared" si="1"/>
        <v>6300</v>
      </c>
      <c r="N10" s="27">
        <f t="shared" ca="1" si="2"/>
        <v>73.730816809877084</v>
      </c>
      <c r="O10" s="27">
        <f t="shared" ca="1" si="3"/>
        <v>143.73081680987707</v>
      </c>
      <c r="P10" s="49">
        <f t="shared" ca="1" si="4"/>
        <v>22</v>
      </c>
      <c r="Q10" s="47" t="str">
        <f t="shared" ca="1" si="5"/>
        <v>OK</v>
      </c>
    </row>
    <row r="11" spans="1:20" ht="20.25" thickTop="1" thickBot="1" x14ac:dyDescent="0.45">
      <c r="A11" s="22" t="s">
        <v>162</v>
      </c>
      <c r="B11" s="23">
        <v>2</v>
      </c>
      <c r="C11" s="26">
        <v>0</v>
      </c>
      <c r="D11" s="23">
        <v>1</v>
      </c>
      <c r="E11" s="26">
        <v>1</v>
      </c>
      <c r="F11" s="26">
        <v>0</v>
      </c>
      <c r="G11" s="26">
        <v>2</v>
      </c>
      <c r="H11" s="23">
        <v>1</v>
      </c>
      <c r="I11" s="26">
        <v>0</v>
      </c>
      <c r="J11" s="26">
        <v>0</v>
      </c>
      <c r="K11" s="38">
        <f t="shared" si="0"/>
        <v>7</v>
      </c>
      <c r="L11" s="8">
        <v>93</v>
      </c>
      <c r="M11" s="24">
        <f t="shared" si="1"/>
        <v>8370</v>
      </c>
      <c r="N11" s="8">
        <f t="shared" ca="1" si="2"/>
        <v>94.767623167147747</v>
      </c>
      <c r="O11" s="8">
        <f t="shared" ca="1" si="3"/>
        <v>187.76762316714775</v>
      </c>
      <c r="P11" s="49">
        <f t="shared" ca="1" si="4"/>
        <v>8</v>
      </c>
      <c r="Q11" s="46" t="str">
        <f t="shared" ca="1" si="5"/>
        <v>OK</v>
      </c>
      <c r="S11" s="3" t="s">
        <v>42</v>
      </c>
    </row>
    <row r="12" spans="1:20" ht="20.25" thickTop="1" thickBot="1" x14ac:dyDescent="0.45">
      <c r="A12" s="22" t="s">
        <v>200</v>
      </c>
      <c r="B12" s="26">
        <v>0</v>
      </c>
      <c r="C12" s="26">
        <v>6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38">
        <f t="shared" si="0"/>
        <v>6</v>
      </c>
      <c r="L12" s="27">
        <v>70</v>
      </c>
      <c r="M12" s="28">
        <f t="shared" si="1"/>
        <v>6300</v>
      </c>
      <c r="N12" s="27">
        <f t="shared" ca="1" si="2"/>
        <v>70.5973715197986</v>
      </c>
      <c r="O12" s="27">
        <f t="shared" ca="1" si="3"/>
        <v>140.5973715197986</v>
      </c>
      <c r="P12" s="49">
        <f t="shared" ca="1" si="4"/>
        <v>25</v>
      </c>
      <c r="Q12" s="47" t="str">
        <f t="shared" ca="1" si="5"/>
        <v>OK</v>
      </c>
      <c r="S12">
        <v>1</v>
      </c>
      <c r="T12">
        <v>8</v>
      </c>
    </row>
    <row r="13" spans="1:20" ht="20.25" thickTop="1" thickBot="1" x14ac:dyDescent="0.45">
      <c r="A13" s="22" t="s">
        <v>168</v>
      </c>
      <c r="B13" s="26">
        <v>0</v>
      </c>
      <c r="C13" s="26">
        <v>5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38">
        <f t="shared" si="0"/>
        <v>5</v>
      </c>
      <c r="L13" s="8">
        <v>70</v>
      </c>
      <c r="M13" s="24">
        <f t="shared" si="1"/>
        <v>6300</v>
      </c>
      <c r="N13" s="8">
        <f t="shared" ca="1" si="2"/>
        <v>70.549989243269223</v>
      </c>
      <c r="O13" s="8">
        <f t="shared" ca="1" si="3"/>
        <v>140.54998924326924</v>
      </c>
      <c r="P13" s="49">
        <f t="shared" ca="1" si="4"/>
        <v>26</v>
      </c>
      <c r="Q13" s="46" t="str">
        <f t="shared" ca="1" si="5"/>
        <v>DNF</v>
      </c>
      <c r="S13">
        <v>2</v>
      </c>
      <c r="T13">
        <v>6</v>
      </c>
    </row>
    <row r="14" spans="1:20" ht="20.25" thickTop="1" thickBot="1" x14ac:dyDescent="0.45">
      <c r="A14" s="22" t="s">
        <v>201</v>
      </c>
      <c r="B14" s="26">
        <v>1</v>
      </c>
      <c r="C14" s="26">
        <v>0</v>
      </c>
      <c r="D14" s="26">
        <v>0</v>
      </c>
      <c r="E14" s="26">
        <v>2</v>
      </c>
      <c r="F14" s="26">
        <v>0</v>
      </c>
      <c r="G14" s="26">
        <v>0</v>
      </c>
      <c r="H14" s="26">
        <v>0</v>
      </c>
      <c r="I14" s="26">
        <v>0</v>
      </c>
      <c r="J14" s="26">
        <v>2</v>
      </c>
      <c r="K14" s="38">
        <f t="shared" si="0"/>
        <v>5</v>
      </c>
      <c r="L14" s="8">
        <v>93</v>
      </c>
      <c r="M14" s="28">
        <f t="shared" si="1"/>
        <v>8370</v>
      </c>
      <c r="N14" s="27">
        <f t="shared" ca="1" si="2"/>
        <v>93.420592017349691</v>
      </c>
      <c r="O14" s="27">
        <f t="shared" ca="1" si="3"/>
        <v>186.42059201734969</v>
      </c>
      <c r="P14" s="49">
        <f t="shared" ca="1" si="4"/>
        <v>9</v>
      </c>
      <c r="Q14" s="47" t="str">
        <f t="shared" ca="1" si="5"/>
        <v>OK</v>
      </c>
      <c r="S14">
        <v>3</v>
      </c>
      <c r="T14">
        <v>4</v>
      </c>
    </row>
    <row r="15" spans="1:20" ht="20.25" thickTop="1" thickBot="1" x14ac:dyDescent="0.45">
      <c r="A15" s="22" t="s">
        <v>164</v>
      </c>
      <c r="B15" s="26">
        <v>0</v>
      </c>
      <c r="C15" s="26">
        <v>2</v>
      </c>
      <c r="D15" s="26">
        <v>0</v>
      </c>
      <c r="E15" s="26">
        <v>0</v>
      </c>
      <c r="F15" s="26" t="s">
        <v>188</v>
      </c>
      <c r="G15" s="26">
        <v>0</v>
      </c>
      <c r="H15" s="26">
        <v>0</v>
      </c>
      <c r="I15" s="26">
        <v>0</v>
      </c>
      <c r="J15" s="26">
        <v>0</v>
      </c>
      <c r="K15" s="38">
        <f t="shared" si="0"/>
        <v>2</v>
      </c>
      <c r="L15" s="8">
        <v>70</v>
      </c>
      <c r="M15" s="24">
        <f t="shared" si="1"/>
        <v>6300</v>
      </c>
      <c r="N15" s="8">
        <f t="shared" ca="1" si="2"/>
        <v>71.002190984791696</v>
      </c>
      <c r="O15" s="8">
        <f t="shared" ca="1" si="3"/>
        <v>141.0021909847917</v>
      </c>
      <c r="P15" s="49">
        <f t="shared" ca="1" si="4"/>
        <v>24</v>
      </c>
      <c r="Q15" s="46" t="str">
        <f t="shared" ca="1" si="5"/>
        <v>OK</v>
      </c>
      <c r="S15">
        <v>4</v>
      </c>
      <c r="T15">
        <v>3</v>
      </c>
    </row>
    <row r="16" spans="1:20" ht="20.25" thickTop="1" thickBot="1" x14ac:dyDescent="0.45">
      <c r="A16" s="22" t="s">
        <v>183</v>
      </c>
      <c r="B16" s="26">
        <v>0</v>
      </c>
      <c r="C16" s="26">
        <v>0</v>
      </c>
      <c r="D16" s="26">
        <v>0</v>
      </c>
      <c r="E16" s="26" t="s">
        <v>188</v>
      </c>
      <c r="F16" s="26">
        <v>0</v>
      </c>
      <c r="G16" s="26">
        <v>0</v>
      </c>
      <c r="H16" s="26">
        <v>2</v>
      </c>
      <c r="I16" s="26">
        <v>0</v>
      </c>
      <c r="J16" s="26">
        <v>0</v>
      </c>
      <c r="K16" s="38">
        <f t="shared" si="0"/>
        <v>2</v>
      </c>
      <c r="L16" s="8">
        <v>93</v>
      </c>
      <c r="M16" s="28">
        <f t="shared" si="1"/>
        <v>8370</v>
      </c>
      <c r="N16" s="27">
        <f t="shared" ca="1" si="2"/>
        <v>96.179780815418127</v>
      </c>
      <c r="O16" s="27">
        <f t="shared" ca="1" si="3"/>
        <v>189.17978081541813</v>
      </c>
      <c r="P16" s="49">
        <f t="shared" ca="1" si="4"/>
        <v>7</v>
      </c>
      <c r="Q16" s="47" t="str">
        <f t="shared" ca="1" si="5"/>
        <v>OK</v>
      </c>
      <c r="S16">
        <v>5</v>
      </c>
      <c r="T16">
        <v>2</v>
      </c>
    </row>
    <row r="17" spans="1:20" ht="20.25" thickTop="1" thickBot="1" x14ac:dyDescent="0.45">
      <c r="A17" s="22" t="s">
        <v>181</v>
      </c>
      <c r="B17" s="26">
        <v>0</v>
      </c>
      <c r="C17" s="26">
        <v>1.5</v>
      </c>
      <c r="D17" s="26">
        <v>0</v>
      </c>
      <c r="E17" s="26">
        <v>0</v>
      </c>
      <c r="F17" s="26">
        <v>0</v>
      </c>
      <c r="G17" s="26" t="s">
        <v>188</v>
      </c>
      <c r="H17" s="26">
        <v>0</v>
      </c>
      <c r="I17" s="26">
        <v>0</v>
      </c>
      <c r="J17" s="26">
        <v>0</v>
      </c>
      <c r="K17" s="38">
        <f t="shared" si="0"/>
        <v>1.5</v>
      </c>
      <c r="L17" s="8">
        <v>70</v>
      </c>
      <c r="M17" s="24">
        <f t="shared" si="1"/>
        <v>6300</v>
      </c>
      <c r="N17" s="8">
        <f t="shared" ca="1" si="2"/>
        <v>75.853948837555677</v>
      </c>
      <c r="O17" s="8">
        <f t="shared" ca="1" si="3"/>
        <v>145.85394883755566</v>
      </c>
      <c r="P17" s="49">
        <f t="shared" ca="1" si="4"/>
        <v>20</v>
      </c>
      <c r="Q17" s="46" t="str">
        <f t="shared" ca="1" si="5"/>
        <v>OK</v>
      </c>
      <c r="S17">
        <v>6</v>
      </c>
      <c r="T17">
        <v>1</v>
      </c>
    </row>
    <row r="18" spans="1:20" ht="20.25" thickTop="1" thickBot="1" x14ac:dyDescent="0.45">
      <c r="A18" s="22" t="s">
        <v>175</v>
      </c>
      <c r="B18" s="26">
        <v>0</v>
      </c>
      <c r="C18" s="26">
        <v>1.5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38">
        <f t="shared" si="0"/>
        <v>1.5</v>
      </c>
      <c r="L18" s="8">
        <v>70</v>
      </c>
      <c r="M18" s="28">
        <f t="shared" si="1"/>
        <v>6300</v>
      </c>
      <c r="N18" s="27">
        <f t="shared" ca="1" si="2"/>
        <v>73.167642951655779</v>
      </c>
      <c r="O18" s="27">
        <f t="shared" ca="1" si="3"/>
        <v>143.16764295165578</v>
      </c>
      <c r="P18" s="49">
        <f t="shared" ca="1" si="4"/>
        <v>23</v>
      </c>
      <c r="Q18" s="47" t="str">
        <f t="shared" ca="1" si="5"/>
        <v>OK</v>
      </c>
      <c r="S18">
        <v>7</v>
      </c>
      <c r="T18">
        <v>0</v>
      </c>
    </row>
    <row r="19" spans="1:20" ht="20.25" thickTop="1" thickBot="1" x14ac:dyDescent="0.45">
      <c r="A19" s="22" t="s">
        <v>198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 t="s">
        <v>188</v>
      </c>
      <c r="J19" s="26">
        <v>0</v>
      </c>
      <c r="K19" s="38">
        <f t="shared" si="0"/>
        <v>0</v>
      </c>
      <c r="L19" s="27">
        <v>90</v>
      </c>
      <c r="M19" s="24">
        <f t="shared" si="1"/>
        <v>8100</v>
      </c>
      <c r="N19" s="8">
        <f t="shared" ca="1" si="2"/>
        <v>92.216329805380667</v>
      </c>
      <c r="O19" s="8">
        <f t="shared" ca="1" si="3"/>
        <v>182.21632980538067</v>
      </c>
      <c r="P19" s="49">
        <f t="shared" ca="1" si="4"/>
        <v>11</v>
      </c>
      <c r="Q19" s="46" t="str">
        <f t="shared" ca="1" si="5"/>
        <v>OK</v>
      </c>
      <c r="S19">
        <v>8</v>
      </c>
      <c r="T19">
        <v>0</v>
      </c>
    </row>
    <row r="20" spans="1:20" ht="20.25" thickTop="1" thickBot="1" x14ac:dyDescent="0.45">
      <c r="A20" s="22" t="s">
        <v>199</v>
      </c>
      <c r="B20" s="26">
        <v>0</v>
      </c>
      <c r="C20" s="26">
        <v>0</v>
      </c>
      <c r="D20" s="26">
        <v>0</v>
      </c>
      <c r="E20" s="26">
        <v>0</v>
      </c>
      <c r="F20" s="26" t="s">
        <v>188</v>
      </c>
      <c r="G20" s="26">
        <v>0</v>
      </c>
      <c r="H20" s="26">
        <v>0</v>
      </c>
      <c r="I20" s="26">
        <v>0</v>
      </c>
      <c r="J20" s="26">
        <v>0</v>
      </c>
      <c r="K20" s="38">
        <f t="shared" si="0"/>
        <v>0</v>
      </c>
      <c r="L20" s="27">
        <v>89</v>
      </c>
      <c r="M20" s="28">
        <f t="shared" si="1"/>
        <v>8010</v>
      </c>
      <c r="N20" s="27">
        <f t="shared" ca="1" si="2"/>
        <v>89.98464805756106</v>
      </c>
      <c r="O20" s="27">
        <f t="shared" ca="1" si="3"/>
        <v>178.98464805756106</v>
      </c>
      <c r="P20" s="49">
        <f t="shared" ca="1" si="4"/>
        <v>16</v>
      </c>
      <c r="Q20" s="47" t="str">
        <f t="shared" ca="1" si="5"/>
        <v>OK</v>
      </c>
      <c r="S20">
        <v>9</v>
      </c>
      <c r="T20">
        <v>0</v>
      </c>
    </row>
    <row r="21" spans="1:20" ht="20.25" thickTop="1" thickBot="1" x14ac:dyDescent="0.45">
      <c r="A21" s="22" t="s">
        <v>190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 t="s">
        <v>188</v>
      </c>
      <c r="J21" s="26">
        <v>0</v>
      </c>
      <c r="K21" s="38">
        <f t="shared" si="0"/>
        <v>0</v>
      </c>
      <c r="L21" s="8">
        <v>89</v>
      </c>
      <c r="M21" s="24">
        <f t="shared" si="1"/>
        <v>8010</v>
      </c>
      <c r="N21" s="8">
        <f t="shared" ca="1" si="2"/>
        <v>90.241432800492831</v>
      </c>
      <c r="O21" s="8">
        <f t="shared" ca="1" si="3"/>
        <v>179.24143280049282</v>
      </c>
      <c r="P21" s="49">
        <f t="shared" ca="1" si="4"/>
        <v>14</v>
      </c>
      <c r="Q21" s="46" t="str">
        <f t="shared" ca="1" si="5"/>
        <v>OK</v>
      </c>
      <c r="S21">
        <v>10</v>
      </c>
      <c r="T21">
        <v>0</v>
      </c>
    </row>
    <row r="22" spans="1:20" ht="20.25" thickTop="1" thickBot="1" x14ac:dyDescent="0.45">
      <c r="A22" s="22" t="s">
        <v>149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38">
        <f t="shared" si="0"/>
        <v>0</v>
      </c>
      <c r="L22" s="27">
        <v>89</v>
      </c>
      <c r="M22" s="28">
        <f t="shared" si="1"/>
        <v>8010</v>
      </c>
      <c r="N22" s="27">
        <f t="shared" ca="1" si="2"/>
        <v>90.022326445498081</v>
      </c>
      <c r="O22" s="27">
        <f t="shared" ca="1" si="3"/>
        <v>179.02232644549809</v>
      </c>
      <c r="P22" s="49">
        <f t="shared" ca="1" si="4"/>
        <v>15</v>
      </c>
      <c r="Q22" s="47" t="str">
        <f t="shared" ca="1" si="5"/>
        <v>OK</v>
      </c>
    </row>
    <row r="23" spans="1:20" ht="20.25" thickTop="1" thickBot="1" x14ac:dyDescent="0.45">
      <c r="A23" s="22" t="s">
        <v>203</v>
      </c>
      <c r="B23" s="26">
        <v>0</v>
      </c>
      <c r="C23" s="26">
        <v>0</v>
      </c>
      <c r="D23" s="26">
        <v>0</v>
      </c>
      <c r="E23" s="26" t="s">
        <v>188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38">
        <f t="shared" si="0"/>
        <v>0</v>
      </c>
      <c r="L23" s="8">
        <v>87</v>
      </c>
      <c r="M23" s="24">
        <f t="shared" si="1"/>
        <v>7830</v>
      </c>
      <c r="N23" s="8">
        <f ca="1">L23+RAND()*6</f>
        <v>87.141619707214474</v>
      </c>
      <c r="O23" s="8">
        <f ca="1">L23+N23</f>
        <v>174.14161970721449</v>
      </c>
      <c r="P23" s="49">
        <f t="shared" ca="1" si="4"/>
        <v>19</v>
      </c>
      <c r="Q23" s="46" t="str">
        <f t="shared" ca="1" si="5"/>
        <v>OK</v>
      </c>
    </row>
    <row r="24" spans="1:20" ht="20.25" thickTop="1" thickBot="1" x14ac:dyDescent="0.45">
      <c r="A24" s="48" t="s">
        <v>136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38">
        <f t="shared" si="0"/>
        <v>0</v>
      </c>
      <c r="L24" s="27">
        <v>90</v>
      </c>
      <c r="M24" s="24">
        <f t="shared" si="1"/>
        <v>8100</v>
      </c>
      <c r="N24" s="8">
        <f t="shared" ca="1" si="2"/>
        <v>94.236396455944742</v>
      </c>
      <c r="O24" s="8">
        <f t="shared" ca="1" si="3"/>
        <v>184.23639645594474</v>
      </c>
      <c r="P24" s="49">
        <f t="shared" ca="1" si="4"/>
        <v>10</v>
      </c>
      <c r="Q24" s="46" t="str">
        <f t="shared" ca="1" si="5"/>
        <v>OK</v>
      </c>
    </row>
    <row r="25" spans="1:20" ht="20.25" thickTop="1" thickBot="1" x14ac:dyDescent="0.45">
      <c r="A25" s="48" t="s">
        <v>204</v>
      </c>
      <c r="B25" s="26">
        <v>0</v>
      </c>
      <c r="C25" s="26">
        <v>0</v>
      </c>
      <c r="D25" s="26">
        <v>0</v>
      </c>
      <c r="E25" s="26">
        <v>0</v>
      </c>
      <c r="F25" s="26" t="s">
        <v>188</v>
      </c>
      <c r="G25" s="26">
        <v>0</v>
      </c>
      <c r="H25" s="26">
        <v>0</v>
      </c>
      <c r="I25" s="26">
        <v>0</v>
      </c>
      <c r="J25" s="26">
        <v>0</v>
      </c>
      <c r="K25" s="38">
        <f t="shared" si="0"/>
        <v>0</v>
      </c>
      <c r="L25" s="8">
        <v>87</v>
      </c>
      <c r="M25" s="24">
        <f t="shared" si="1"/>
        <v>7830</v>
      </c>
      <c r="N25" s="8">
        <f t="shared" ca="1" si="2"/>
        <v>87.836767431886301</v>
      </c>
      <c r="O25" s="8">
        <f t="shared" ca="1" si="3"/>
        <v>174.8367674318863</v>
      </c>
      <c r="P25" s="49">
        <f t="shared" ca="1" si="4"/>
        <v>17</v>
      </c>
      <c r="Q25" s="46" t="str">
        <f t="shared" ca="1" si="5"/>
        <v>DNF</v>
      </c>
    </row>
    <row r="26" spans="1:20" ht="20.25" thickTop="1" thickBot="1" x14ac:dyDescent="0.45">
      <c r="A26" s="48" t="s">
        <v>205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 t="s">
        <v>188</v>
      </c>
      <c r="I26" s="26">
        <v>0</v>
      </c>
      <c r="J26" s="26">
        <v>0</v>
      </c>
      <c r="K26" s="38">
        <f t="shared" si="0"/>
        <v>0</v>
      </c>
      <c r="L26" s="27">
        <v>86</v>
      </c>
      <c r="M26" s="24">
        <f t="shared" si="1"/>
        <v>7740</v>
      </c>
      <c r="N26" s="8">
        <f t="shared" ca="1" si="2"/>
        <v>88.608486988611688</v>
      </c>
      <c r="O26" s="8">
        <f t="shared" ca="1" si="3"/>
        <v>174.60848698861167</v>
      </c>
      <c r="P26" s="49">
        <f t="shared" ca="1" si="4"/>
        <v>18</v>
      </c>
      <c r="Q26" s="46" t="str">
        <f t="shared" ca="1" si="5"/>
        <v>OK</v>
      </c>
    </row>
    <row r="27" spans="1:20" ht="20.25" thickTop="1" thickBot="1" x14ac:dyDescent="0.45">
      <c r="A27" s="48" t="s">
        <v>206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38">
        <f t="shared" si="0"/>
        <v>0</v>
      </c>
      <c r="L27" s="8">
        <v>70</v>
      </c>
      <c r="M27" s="24">
        <f t="shared" si="1"/>
        <v>6300</v>
      </c>
      <c r="N27" s="8">
        <f t="shared" ca="1" si="2"/>
        <v>74.613599912282695</v>
      </c>
      <c r="O27" s="8">
        <f t="shared" ca="1" si="3"/>
        <v>144.61359991228269</v>
      </c>
      <c r="P27" s="49">
        <f t="shared" ca="1" si="4"/>
        <v>21</v>
      </c>
      <c r="Q27" s="46" t="str">
        <f t="shared" ca="1" si="5"/>
        <v>OK</v>
      </c>
    </row>
    <row r="28" spans="1:20" ht="20.25" thickTop="1" thickBot="1" x14ac:dyDescent="0.45">
      <c r="A28" s="48" t="s">
        <v>134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38">
        <f t="shared" si="0"/>
        <v>0</v>
      </c>
      <c r="L28" s="8">
        <v>89</v>
      </c>
      <c r="M28" s="24">
        <f t="shared" si="1"/>
        <v>8010</v>
      </c>
      <c r="N28" s="8">
        <f t="shared" ca="1" si="2"/>
        <v>91.782785838838933</v>
      </c>
      <c r="O28" s="8">
        <f t="shared" ca="1" si="3"/>
        <v>180.78278583883895</v>
      </c>
      <c r="P28" s="49">
        <f t="shared" ca="1" si="4"/>
        <v>13</v>
      </c>
      <c r="Q28" s="46" t="str">
        <f t="shared" ca="1" si="5"/>
        <v>OK</v>
      </c>
    </row>
    <row r="29" spans="1:20" ht="19.5" thickTop="1" x14ac:dyDescent="0.4">
      <c r="A29" s="48" t="s">
        <v>207</v>
      </c>
      <c r="B29" s="26">
        <v>0</v>
      </c>
      <c r="C29" s="26">
        <v>0</v>
      </c>
      <c r="D29" s="26">
        <v>0</v>
      </c>
      <c r="E29" s="26">
        <v>0</v>
      </c>
      <c r="F29" s="26" t="s">
        <v>188</v>
      </c>
      <c r="G29" s="26">
        <v>0</v>
      </c>
      <c r="H29" s="26">
        <v>0</v>
      </c>
      <c r="I29" s="26">
        <v>0</v>
      </c>
      <c r="J29" s="26">
        <v>0</v>
      </c>
      <c r="K29" s="38">
        <f t="shared" si="0"/>
        <v>0</v>
      </c>
      <c r="L29" s="8">
        <v>88</v>
      </c>
      <c r="M29" s="24">
        <f t="shared" si="1"/>
        <v>7920</v>
      </c>
      <c r="N29" s="8">
        <f t="shared" ca="1" si="2"/>
        <v>93.669580705879056</v>
      </c>
      <c r="O29" s="8">
        <f t="shared" ca="1" si="3"/>
        <v>181.66958070587907</v>
      </c>
      <c r="P29" s="49">
        <f t="shared" ca="1" si="4"/>
        <v>12</v>
      </c>
      <c r="Q29" s="46" t="str">
        <f t="shared" ca="1" si="5"/>
        <v>OK</v>
      </c>
    </row>
  </sheetData>
  <sortState xmlns:xlrd2="http://schemas.microsoft.com/office/spreadsheetml/2017/richdata2" ref="A4:L29">
    <sortCondition descending="1" ref="K4:K29"/>
  </sortState>
  <conditionalFormatting sqref="B4:J29">
    <cfRule type="containsText" dxfId="68" priority="1" operator="containsText" text="DNF">
      <formula>NOT(ISERROR(SEARCH("DNF",B4)))</formula>
    </cfRule>
  </conditionalFormatting>
  <conditionalFormatting sqref="P3:P29">
    <cfRule type="cellIs" dxfId="67" priority="3" operator="lessThan">
      <formula>7</formula>
    </cfRule>
  </conditionalFormatting>
  <conditionalFormatting sqref="P4:P29">
    <cfRule type="cellIs" dxfId="66" priority="16" operator="equal">
      <formula>1</formula>
    </cfRule>
  </conditionalFormatting>
  <conditionalFormatting sqref="Q4:Q29">
    <cfRule type="containsText" dxfId="65" priority="15" operator="containsText" text="DNF">
      <formula>NOT(ISERROR(SEARCH("DNF",Q4)))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7"/>
  <dimension ref="A1:R30"/>
  <sheetViews>
    <sheetView zoomScale="80" zoomScaleNormal="80" workbookViewId="0">
      <pane ySplit="3" topLeftCell="A4" activePane="bottomLeft" state="frozen"/>
      <selection pane="bottomLeft" activeCell="A3" sqref="A3:O29"/>
    </sheetView>
  </sheetViews>
  <sheetFormatPr defaultRowHeight="15" x14ac:dyDescent="0.25"/>
  <cols>
    <col min="1" max="18" width="16" customWidth="1"/>
  </cols>
  <sheetData>
    <row r="1" spans="1:18" ht="21" x14ac:dyDescent="0.35">
      <c r="A1" s="1" t="s">
        <v>59</v>
      </c>
    </row>
    <row r="3" spans="1:18" ht="15.75" thickBot="1" x14ac:dyDescent="0.3">
      <c r="A3" s="7" t="s">
        <v>6</v>
      </c>
      <c r="B3" s="16" t="s">
        <v>196</v>
      </c>
      <c r="C3" s="16" t="s">
        <v>140</v>
      </c>
      <c r="D3" s="16" t="s">
        <v>141</v>
      </c>
      <c r="E3" s="16" t="s">
        <v>143</v>
      </c>
      <c r="F3" s="16" t="s">
        <v>197</v>
      </c>
      <c r="G3" s="16" t="s">
        <v>139</v>
      </c>
      <c r="H3" s="16" t="s">
        <v>145</v>
      </c>
      <c r="I3" s="16" t="s">
        <v>18</v>
      </c>
      <c r="J3" s="17" t="s">
        <v>19</v>
      </c>
      <c r="K3" s="17" t="s">
        <v>158</v>
      </c>
      <c r="L3" s="16" t="s">
        <v>20</v>
      </c>
      <c r="M3" s="16" t="s">
        <v>21</v>
      </c>
      <c r="N3" s="16" t="s">
        <v>22</v>
      </c>
      <c r="O3" s="50" t="s">
        <v>187</v>
      </c>
      <c r="Q3" s="3" t="s">
        <v>23</v>
      </c>
    </row>
    <row r="4" spans="1:18" ht="20.25" thickTop="1" thickBot="1" x14ac:dyDescent="0.45">
      <c r="A4" s="22" t="s">
        <v>131</v>
      </c>
      <c r="B4" s="29">
        <v>9</v>
      </c>
      <c r="C4" s="29">
        <v>9</v>
      </c>
      <c r="D4" s="26">
        <v>0</v>
      </c>
      <c r="E4" s="29">
        <v>8</v>
      </c>
      <c r="F4" s="29">
        <v>8</v>
      </c>
      <c r="G4" s="26">
        <v>3</v>
      </c>
      <c r="H4" s="29">
        <v>9</v>
      </c>
      <c r="I4" s="38">
        <f t="shared" ref="I4:I29" si="0">SUM(B4:H4)</f>
        <v>46</v>
      </c>
      <c r="J4" s="27">
        <v>97</v>
      </c>
      <c r="K4" s="21">
        <f>J4*$J$30</f>
        <v>210199</v>
      </c>
      <c r="L4" s="20">
        <f ca="1">J4+RAND()*6</f>
        <v>100.16328927969167</v>
      </c>
      <c r="M4" s="20">
        <f ca="1">J4+L4</f>
        <v>197.16328927969167</v>
      </c>
      <c r="N4" s="49">
        <f ca="1">RANK(M4,$M$4:$M$29,0)</f>
        <v>1</v>
      </c>
      <c r="O4" s="51" t="str">
        <f ca="1">IF(RAND()&lt;0.08,"DNF","OK")</f>
        <v>OK</v>
      </c>
      <c r="Q4" t="s">
        <v>26</v>
      </c>
    </row>
    <row r="5" spans="1:18" ht="20.25" thickTop="1" thickBot="1" x14ac:dyDescent="0.45">
      <c r="A5" s="22" t="s">
        <v>195</v>
      </c>
      <c r="B5" s="26">
        <v>3</v>
      </c>
      <c r="C5" s="26">
        <v>3</v>
      </c>
      <c r="D5" s="26">
        <v>0</v>
      </c>
      <c r="E5" s="26">
        <v>5</v>
      </c>
      <c r="F5" s="26">
        <v>4</v>
      </c>
      <c r="G5" s="29">
        <v>9</v>
      </c>
      <c r="H5" s="26">
        <v>6</v>
      </c>
      <c r="I5" s="38">
        <f t="shared" si="0"/>
        <v>30</v>
      </c>
      <c r="J5" s="27">
        <v>96</v>
      </c>
      <c r="K5" s="21">
        <f t="shared" ref="K5:K29" si="1">J5*$J$30</f>
        <v>208032</v>
      </c>
      <c r="L5" s="20">
        <f t="shared" ref="L5:L29" ca="1" si="2">J5+RAND()*6</f>
        <v>98.847247729926039</v>
      </c>
      <c r="M5" s="20">
        <f t="shared" ref="M5:M29" ca="1" si="3">J5+L5</f>
        <v>194.84724772992604</v>
      </c>
      <c r="N5" s="49">
        <f t="shared" ref="N5:N29" ca="1" si="4">RANK(M5,$M$4:$M$29,0)</f>
        <v>3</v>
      </c>
      <c r="O5" s="52" t="str">
        <f t="shared" ref="O5:O29" ca="1" si="5">IF(RAND()&lt;0.08,"DNF","OK")</f>
        <v>OK</v>
      </c>
      <c r="Q5" t="s">
        <v>29</v>
      </c>
    </row>
    <row r="6" spans="1:18" ht="20.25" thickTop="1" thickBot="1" x14ac:dyDescent="0.45">
      <c r="A6" s="22" t="s">
        <v>209</v>
      </c>
      <c r="B6" s="26">
        <v>4</v>
      </c>
      <c r="C6" s="23">
        <v>6</v>
      </c>
      <c r="D6" s="26">
        <v>0</v>
      </c>
      <c r="E6" s="26">
        <v>3</v>
      </c>
      <c r="F6" s="26">
        <v>1</v>
      </c>
      <c r="G6" s="26">
        <v>4</v>
      </c>
      <c r="H6" s="26">
        <v>4</v>
      </c>
      <c r="I6" s="38">
        <f t="shared" si="0"/>
        <v>22</v>
      </c>
      <c r="J6" s="8">
        <v>95</v>
      </c>
      <c r="K6" s="21">
        <f t="shared" si="1"/>
        <v>205865</v>
      </c>
      <c r="L6" s="20">
        <f t="shared" ca="1" si="2"/>
        <v>100.84530428008473</v>
      </c>
      <c r="M6" s="20">
        <f t="shared" ca="1" si="3"/>
        <v>195.84530428008475</v>
      </c>
      <c r="N6" s="49">
        <f t="shared" ca="1" si="4"/>
        <v>2</v>
      </c>
      <c r="O6" s="53" t="str">
        <f t="shared" ca="1" si="5"/>
        <v>DNF</v>
      </c>
      <c r="Q6" t="s">
        <v>32</v>
      </c>
    </row>
    <row r="7" spans="1:18" ht="20.25" thickTop="1" thickBot="1" x14ac:dyDescent="0.45">
      <c r="A7" s="22" t="s">
        <v>155</v>
      </c>
      <c r="B7" s="26">
        <v>2</v>
      </c>
      <c r="C7" s="26">
        <v>4</v>
      </c>
      <c r="D7" s="26">
        <v>0</v>
      </c>
      <c r="E7" s="26">
        <v>6</v>
      </c>
      <c r="F7" s="26">
        <v>6</v>
      </c>
      <c r="G7" s="26">
        <v>2</v>
      </c>
      <c r="H7" s="26" t="s">
        <v>188</v>
      </c>
      <c r="I7" s="38">
        <f t="shared" si="0"/>
        <v>20</v>
      </c>
      <c r="J7" s="27">
        <v>95</v>
      </c>
      <c r="K7" s="21">
        <f t="shared" si="1"/>
        <v>205865</v>
      </c>
      <c r="L7" s="20">
        <f t="shared" ca="1" si="2"/>
        <v>95.518426930998658</v>
      </c>
      <c r="M7" s="20">
        <f t="shared" ca="1" si="3"/>
        <v>190.51842693099866</v>
      </c>
      <c r="N7" s="49">
        <f t="shared" ca="1" si="4"/>
        <v>7</v>
      </c>
      <c r="O7" s="52" t="str">
        <f t="shared" ca="1" si="5"/>
        <v>OK</v>
      </c>
      <c r="Q7" t="s">
        <v>35</v>
      </c>
    </row>
    <row r="8" spans="1:18" ht="20.25" thickTop="1" thickBot="1" x14ac:dyDescent="0.45">
      <c r="A8" s="22" t="s">
        <v>208</v>
      </c>
      <c r="B8" s="26">
        <v>6</v>
      </c>
      <c r="C8" s="26" t="s">
        <v>188</v>
      </c>
      <c r="D8" s="26">
        <v>0</v>
      </c>
      <c r="E8" s="26">
        <v>2</v>
      </c>
      <c r="F8" s="23">
        <v>2</v>
      </c>
      <c r="G8" s="26">
        <v>6</v>
      </c>
      <c r="H8" s="26">
        <v>3</v>
      </c>
      <c r="I8" s="38">
        <f t="shared" si="0"/>
        <v>19</v>
      </c>
      <c r="J8" s="27">
        <v>95</v>
      </c>
      <c r="K8" s="21">
        <f t="shared" si="1"/>
        <v>205865</v>
      </c>
      <c r="L8" s="20">
        <f t="shared" ca="1" si="2"/>
        <v>96.385279810910589</v>
      </c>
      <c r="M8" s="20">
        <f t="shared" ca="1" si="3"/>
        <v>191.38527981091059</v>
      </c>
      <c r="N8" s="49">
        <f t="shared" ca="1" si="4"/>
        <v>5</v>
      </c>
      <c r="O8" s="53" t="str">
        <f t="shared" ca="1" si="5"/>
        <v>OK</v>
      </c>
      <c r="Q8" t="s">
        <v>38</v>
      </c>
    </row>
    <row r="9" spans="1:18" ht="20.25" thickTop="1" thickBot="1" x14ac:dyDescent="0.45">
      <c r="A9" s="22" t="s">
        <v>210</v>
      </c>
      <c r="B9" s="26">
        <v>0</v>
      </c>
      <c r="C9" s="26">
        <v>0</v>
      </c>
      <c r="D9" s="29">
        <v>8</v>
      </c>
      <c r="E9" s="26">
        <v>0</v>
      </c>
      <c r="F9" s="26">
        <v>0</v>
      </c>
      <c r="G9" s="26">
        <v>0</v>
      </c>
      <c r="H9" s="26">
        <v>0</v>
      </c>
      <c r="I9" s="38">
        <f t="shared" si="0"/>
        <v>8</v>
      </c>
      <c r="J9" s="8">
        <v>70</v>
      </c>
      <c r="K9" s="21">
        <f t="shared" si="1"/>
        <v>151690</v>
      </c>
      <c r="L9" s="20">
        <f t="shared" ca="1" si="2"/>
        <v>71.975654276057071</v>
      </c>
      <c r="M9" s="20">
        <f t="shared" ca="1" si="3"/>
        <v>141.97565427605707</v>
      </c>
      <c r="N9" s="49">
        <f t="shared" ca="1" si="4"/>
        <v>23</v>
      </c>
      <c r="O9" s="52" t="str">
        <f t="shared" ca="1" si="5"/>
        <v>OK</v>
      </c>
    </row>
    <row r="10" spans="1:18" ht="20.25" thickTop="1" thickBot="1" x14ac:dyDescent="0.45">
      <c r="A10" s="22" t="s">
        <v>162</v>
      </c>
      <c r="B10" s="26" t="s">
        <v>188</v>
      </c>
      <c r="C10" s="26">
        <v>0</v>
      </c>
      <c r="D10" s="26">
        <v>0</v>
      </c>
      <c r="E10" s="26">
        <v>0</v>
      </c>
      <c r="F10" s="26">
        <v>3</v>
      </c>
      <c r="G10" s="26">
        <v>0</v>
      </c>
      <c r="H10" s="26">
        <v>2</v>
      </c>
      <c r="I10" s="38">
        <f t="shared" si="0"/>
        <v>5</v>
      </c>
      <c r="J10" s="8">
        <v>93</v>
      </c>
      <c r="K10" s="21">
        <f t="shared" si="1"/>
        <v>201531</v>
      </c>
      <c r="L10" s="20">
        <f t="shared" ca="1" si="2"/>
        <v>97.720656930731039</v>
      </c>
      <c r="M10" s="20">
        <f t="shared" ca="1" si="3"/>
        <v>190.72065693073102</v>
      </c>
      <c r="N10" s="49">
        <f t="shared" ca="1" si="4"/>
        <v>6</v>
      </c>
      <c r="O10" s="53" t="str">
        <f t="shared" ca="1" si="5"/>
        <v>OK</v>
      </c>
    </row>
    <row r="11" spans="1:18" ht="20.25" thickTop="1" thickBot="1" x14ac:dyDescent="0.45">
      <c r="A11" s="22" t="s">
        <v>211</v>
      </c>
      <c r="B11" s="26">
        <v>0</v>
      </c>
      <c r="C11" s="26">
        <v>0</v>
      </c>
      <c r="D11" s="26">
        <v>4</v>
      </c>
      <c r="E11" s="26">
        <v>0</v>
      </c>
      <c r="F11" s="26">
        <v>0</v>
      </c>
      <c r="G11" s="26">
        <v>0</v>
      </c>
      <c r="H11" s="26">
        <v>0</v>
      </c>
      <c r="I11" s="38">
        <f t="shared" si="0"/>
        <v>4</v>
      </c>
      <c r="J11" s="8">
        <v>70</v>
      </c>
      <c r="K11" s="21">
        <f t="shared" si="1"/>
        <v>151690</v>
      </c>
      <c r="L11" s="20">
        <f t="shared" ca="1" si="2"/>
        <v>73.32319304975664</v>
      </c>
      <c r="M11" s="20">
        <f t="shared" ca="1" si="3"/>
        <v>143.32319304975664</v>
      </c>
      <c r="N11" s="49">
        <f t="shared" ca="1" si="4"/>
        <v>18</v>
      </c>
      <c r="O11" s="52" t="str">
        <f t="shared" ca="1" si="5"/>
        <v>OK</v>
      </c>
      <c r="Q11" s="3" t="s">
        <v>42</v>
      </c>
    </row>
    <row r="12" spans="1:18" ht="20.25" thickTop="1" thickBot="1" x14ac:dyDescent="0.45">
      <c r="A12" s="22" t="s">
        <v>212</v>
      </c>
      <c r="B12" s="26">
        <v>0</v>
      </c>
      <c r="C12" s="26">
        <v>0</v>
      </c>
      <c r="D12" s="26">
        <v>3</v>
      </c>
      <c r="E12" s="26" t="s">
        <v>188</v>
      </c>
      <c r="F12" s="26">
        <v>0</v>
      </c>
      <c r="G12" s="26">
        <v>0</v>
      </c>
      <c r="H12" s="26">
        <v>0</v>
      </c>
      <c r="I12" s="38">
        <f t="shared" si="0"/>
        <v>3</v>
      </c>
      <c r="J12" s="27">
        <v>70</v>
      </c>
      <c r="K12" s="21">
        <f t="shared" si="1"/>
        <v>151690</v>
      </c>
      <c r="L12" s="20">
        <f t="shared" ca="1" si="2"/>
        <v>70.30446161581996</v>
      </c>
      <c r="M12" s="20">
        <f t="shared" ca="1" si="3"/>
        <v>140.30446161581995</v>
      </c>
      <c r="N12" s="49">
        <f t="shared" ca="1" si="4"/>
        <v>26</v>
      </c>
      <c r="O12" s="53" t="str">
        <f t="shared" ca="1" si="5"/>
        <v>DNF</v>
      </c>
      <c r="Q12">
        <v>1</v>
      </c>
      <c r="R12">
        <v>8</v>
      </c>
    </row>
    <row r="13" spans="1:18" ht="20.25" thickTop="1" thickBot="1" x14ac:dyDescent="0.45">
      <c r="A13" s="22" t="s">
        <v>194</v>
      </c>
      <c r="B13" s="26">
        <v>0</v>
      </c>
      <c r="C13" s="26">
        <v>0</v>
      </c>
      <c r="D13" s="26">
        <v>3</v>
      </c>
      <c r="E13" s="26">
        <v>0</v>
      </c>
      <c r="F13" s="26">
        <v>0</v>
      </c>
      <c r="G13" s="26" t="s">
        <v>188</v>
      </c>
      <c r="H13" s="26">
        <v>0</v>
      </c>
      <c r="I13" s="38">
        <f t="shared" si="0"/>
        <v>3</v>
      </c>
      <c r="J13" s="27">
        <v>70</v>
      </c>
      <c r="K13" s="21">
        <f t="shared" si="1"/>
        <v>151690</v>
      </c>
      <c r="L13" s="20">
        <f t="shared" ca="1" si="2"/>
        <v>70.454676447577882</v>
      </c>
      <c r="M13" s="20">
        <f t="shared" ca="1" si="3"/>
        <v>140.45467644757787</v>
      </c>
      <c r="N13" s="49">
        <f t="shared" ca="1" si="4"/>
        <v>24</v>
      </c>
      <c r="O13" s="52" t="str">
        <f t="shared" ca="1" si="5"/>
        <v>DNF</v>
      </c>
      <c r="Q13">
        <v>2</v>
      </c>
      <c r="R13">
        <v>6</v>
      </c>
    </row>
    <row r="14" spans="1:18" ht="20.25" thickTop="1" thickBot="1" x14ac:dyDescent="0.45">
      <c r="A14" s="22" t="s">
        <v>213</v>
      </c>
      <c r="B14" s="26">
        <v>0</v>
      </c>
      <c r="C14" s="26">
        <v>0</v>
      </c>
      <c r="D14" s="26">
        <v>3</v>
      </c>
      <c r="E14" s="26">
        <v>0</v>
      </c>
      <c r="F14" s="26">
        <v>0</v>
      </c>
      <c r="G14" s="26">
        <v>0</v>
      </c>
      <c r="H14" s="26">
        <v>0</v>
      </c>
      <c r="I14" s="38">
        <f t="shared" si="0"/>
        <v>3</v>
      </c>
      <c r="J14" s="27">
        <v>70</v>
      </c>
      <c r="K14" s="21">
        <f t="shared" si="1"/>
        <v>151690</v>
      </c>
      <c r="L14" s="20">
        <f t="shared" ca="1" si="2"/>
        <v>75.301411738619777</v>
      </c>
      <c r="M14" s="20">
        <f t="shared" ca="1" si="3"/>
        <v>145.30141173861978</v>
      </c>
      <c r="N14" s="49">
        <f t="shared" ca="1" si="4"/>
        <v>17</v>
      </c>
      <c r="O14" s="53" t="str">
        <f t="shared" ca="1" si="5"/>
        <v>OK</v>
      </c>
      <c r="Q14">
        <v>3</v>
      </c>
      <c r="R14">
        <v>4</v>
      </c>
    </row>
    <row r="15" spans="1:18" ht="20.25" thickTop="1" thickBot="1" x14ac:dyDescent="0.45">
      <c r="A15" s="22" t="s">
        <v>130</v>
      </c>
      <c r="B15" s="23" t="s">
        <v>188</v>
      </c>
      <c r="C15" s="26">
        <v>2</v>
      </c>
      <c r="D15" s="23">
        <v>0</v>
      </c>
      <c r="E15" s="26">
        <v>0</v>
      </c>
      <c r="F15" s="26" t="s">
        <v>188</v>
      </c>
      <c r="G15" s="26">
        <v>0</v>
      </c>
      <c r="H15" s="23" t="s">
        <v>188</v>
      </c>
      <c r="I15" s="38">
        <f t="shared" si="0"/>
        <v>2</v>
      </c>
      <c r="J15" s="8">
        <v>94</v>
      </c>
      <c r="K15" s="21">
        <f t="shared" si="1"/>
        <v>203698</v>
      </c>
      <c r="L15" s="20">
        <f t="shared" ca="1" si="2"/>
        <v>99.129394190107931</v>
      </c>
      <c r="M15" s="20">
        <f t="shared" ca="1" si="3"/>
        <v>193.12939419010792</v>
      </c>
      <c r="N15" s="49">
        <f t="shared" ca="1" si="4"/>
        <v>4</v>
      </c>
      <c r="O15" s="52" t="str">
        <f t="shared" ca="1" si="5"/>
        <v>OK</v>
      </c>
      <c r="Q15">
        <v>4</v>
      </c>
      <c r="R15">
        <v>3</v>
      </c>
    </row>
    <row r="16" spans="1:18" ht="20.25" thickTop="1" thickBot="1" x14ac:dyDescent="0.45">
      <c r="A16" s="22" t="s">
        <v>217</v>
      </c>
      <c r="B16" s="26">
        <v>0</v>
      </c>
      <c r="C16" s="26">
        <v>0</v>
      </c>
      <c r="D16" s="26">
        <v>1</v>
      </c>
      <c r="E16" s="26">
        <v>0</v>
      </c>
      <c r="F16" s="26">
        <v>0</v>
      </c>
      <c r="G16" s="26">
        <v>0</v>
      </c>
      <c r="H16" s="26">
        <v>0</v>
      </c>
      <c r="I16" s="38">
        <f t="shared" si="0"/>
        <v>1</v>
      </c>
      <c r="J16" s="8">
        <v>70</v>
      </c>
      <c r="K16" s="21">
        <f t="shared" si="1"/>
        <v>151690</v>
      </c>
      <c r="L16" s="20">
        <f t="shared" ca="1" si="2"/>
        <v>72.201987491206026</v>
      </c>
      <c r="M16" s="20">
        <f t="shared" ca="1" si="3"/>
        <v>142.20198749120601</v>
      </c>
      <c r="N16" s="49">
        <f t="shared" ca="1" si="4"/>
        <v>21</v>
      </c>
      <c r="O16" s="53" t="str">
        <f t="shared" ca="1" si="5"/>
        <v>DNF</v>
      </c>
      <c r="Q16">
        <v>5</v>
      </c>
      <c r="R16">
        <v>2</v>
      </c>
    </row>
    <row r="17" spans="1:18" ht="20.25" thickTop="1" thickBot="1" x14ac:dyDescent="0.45">
      <c r="A17" s="22" t="s">
        <v>218</v>
      </c>
      <c r="B17" s="26">
        <v>0</v>
      </c>
      <c r="C17" s="26">
        <v>0</v>
      </c>
      <c r="D17" s="26">
        <v>1</v>
      </c>
      <c r="E17" s="26">
        <v>0</v>
      </c>
      <c r="F17" s="26">
        <v>0</v>
      </c>
      <c r="G17" s="26">
        <v>0</v>
      </c>
      <c r="H17" s="26">
        <v>0</v>
      </c>
      <c r="I17" s="38">
        <f t="shared" si="0"/>
        <v>1</v>
      </c>
      <c r="J17" s="8">
        <v>70</v>
      </c>
      <c r="K17" s="21">
        <f t="shared" si="1"/>
        <v>151690</v>
      </c>
      <c r="L17" s="20">
        <f t="shared" ca="1" si="2"/>
        <v>72.179772425014065</v>
      </c>
      <c r="M17" s="20">
        <f t="shared" ca="1" si="3"/>
        <v>142.17977242501405</v>
      </c>
      <c r="N17" s="49">
        <f t="shared" ca="1" si="4"/>
        <v>22</v>
      </c>
      <c r="O17" s="52" t="str">
        <f t="shared" ca="1" si="5"/>
        <v>DNF</v>
      </c>
      <c r="Q17">
        <v>6</v>
      </c>
      <c r="R17">
        <v>0</v>
      </c>
    </row>
    <row r="18" spans="1:18" ht="20.25" thickTop="1" thickBot="1" x14ac:dyDescent="0.45">
      <c r="A18" s="22" t="s">
        <v>172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 t="s">
        <v>188</v>
      </c>
      <c r="I18" s="38">
        <f t="shared" si="0"/>
        <v>0</v>
      </c>
      <c r="J18" s="27">
        <v>93</v>
      </c>
      <c r="K18" s="21">
        <f t="shared" si="1"/>
        <v>201531</v>
      </c>
      <c r="L18" s="20">
        <f t="shared" ca="1" si="2"/>
        <v>94.384405268243796</v>
      </c>
      <c r="M18" s="20">
        <f t="shared" ca="1" si="3"/>
        <v>187.3844052682438</v>
      </c>
      <c r="N18" s="49">
        <f t="shared" ca="1" si="4"/>
        <v>8</v>
      </c>
      <c r="O18" s="53" t="str">
        <f t="shared" ca="1" si="5"/>
        <v>OK</v>
      </c>
      <c r="Q18">
        <v>7</v>
      </c>
      <c r="R18">
        <v>0</v>
      </c>
    </row>
    <row r="19" spans="1:18" ht="20.25" thickTop="1" thickBot="1" x14ac:dyDescent="0.45">
      <c r="A19" s="22" t="s">
        <v>202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38">
        <f t="shared" si="0"/>
        <v>0</v>
      </c>
      <c r="J19" s="8">
        <v>91</v>
      </c>
      <c r="K19" s="21">
        <f t="shared" si="1"/>
        <v>197197</v>
      </c>
      <c r="L19" s="20">
        <f t="shared" ca="1" si="2"/>
        <v>93.002072134792897</v>
      </c>
      <c r="M19" s="20">
        <f t="shared" ca="1" si="3"/>
        <v>184.00207213479291</v>
      </c>
      <c r="N19" s="49">
        <f t="shared" ca="1" si="4"/>
        <v>10</v>
      </c>
      <c r="O19" s="52" t="str">
        <f t="shared" ca="1" si="5"/>
        <v>OK</v>
      </c>
      <c r="Q19">
        <v>8</v>
      </c>
      <c r="R19">
        <v>0</v>
      </c>
    </row>
    <row r="20" spans="1:18" ht="20.25" thickTop="1" thickBot="1" x14ac:dyDescent="0.45">
      <c r="A20" s="22" t="s">
        <v>207</v>
      </c>
      <c r="B20" s="26" t="s">
        <v>188</v>
      </c>
      <c r="C20" s="26" t="s">
        <v>188</v>
      </c>
      <c r="D20" s="26">
        <v>0</v>
      </c>
      <c r="E20" s="26" t="s">
        <v>188</v>
      </c>
      <c r="F20" s="26">
        <v>0</v>
      </c>
      <c r="G20" s="26">
        <v>0</v>
      </c>
      <c r="H20" s="26" t="s">
        <v>188</v>
      </c>
      <c r="I20" s="38">
        <f t="shared" si="0"/>
        <v>0</v>
      </c>
      <c r="J20" s="8">
        <v>92</v>
      </c>
      <c r="K20" s="21">
        <f t="shared" si="1"/>
        <v>199364</v>
      </c>
      <c r="L20" s="20">
        <f t="shared" ca="1" si="2"/>
        <v>94.000025318308531</v>
      </c>
      <c r="M20" s="20">
        <f t="shared" ca="1" si="3"/>
        <v>186.00002531830853</v>
      </c>
      <c r="N20" s="49">
        <f t="shared" ca="1" si="4"/>
        <v>9</v>
      </c>
      <c r="O20" s="53" t="str">
        <f t="shared" ca="1" si="5"/>
        <v>OK</v>
      </c>
      <c r="Q20">
        <v>9</v>
      </c>
      <c r="R20">
        <v>0</v>
      </c>
    </row>
    <row r="21" spans="1:18" ht="20.25" thickTop="1" thickBot="1" x14ac:dyDescent="0.45">
      <c r="A21" s="22" t="s">
        <v>201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38">
        <f t="shared" si="0"/>
        <v>0</v>
      </c>
      <c r="J21" s="8">
        <v>90</v>
      </c>
      <c r="K21" s="21">
        <f t="shared" si="1"/>
        <v>195030</v>
      </c>
      <c r="L21" s="20">
        <f t="shared" ca="1" si="2"/>
        <v>93.920518258805615</v>
      </c>
      <c r="M21" s="20">
        <f t="shared" ca="1" si="3"/>
        <v>183.9205182588056</v>
      </c>
      <c r="N21" s="49">
        <f t="shared" ca="1" si="4"/>
        <v>11</v>
      </c>
      <c r="O21" s="52" t="str">
        <f t="shared" ca="1" si="5"/>
        <v>OK</v>
      </c>
      <c r="Q21">
        <v>10</v>
      </c>
      <c r="R21">
        <v>0</v>
      </c>
    </row>
    <row r="22" spans="1:18" ht="20.25" thickTop="1" thickBot="1" x14ac:dyDescent="0.45">
      <c r="A22" s="22" t="s">
        <v>198</v>
      </c>
      <c r="B22" s="26" t="s">
        <v>188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 t="s">
        <v>188</v>
      </c>
      <c r="I22" s="38">
        <f t="shared" si="0"/>
        <v>0</v>
      </c>
      <c r="J22" s="8">
        <v>90</v>
      </c>
      <c r="K22" s="21">
        <f t="shared" si="1"/>
        <v>195030</v>
      </c>
      <c r="L22" s="20">
        <f t="shared" ca="1" si="2"/>
        <v>92.020048364300749</v>
      </c>
      <c r="M22" s="20">
        <f t="shared" ca="1" si="3"/>
        <v>182.02004836430075</v>
      </c>
      <c r="N22" s="49">
        <f t="shared" ca="1" si="4"/>
        <v>12</v>
      </c>
      <c r="O22" s="53" t="str">
        <f t="shared" ca="1" si="5"/>
        <v>OK</v>
      </c>
    </row>
    <row r="23" spans="1:18" ht="20.25" thickTop="1" thickBot="1" x14ac:dyDescent="0.45">
      <c r="A23" s="22" t="s">
        <v>185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38">
        <f t="shared" si="0"/>
        <v>0</v>
      </c>
      <c r="J23" s="8">
        <v>89</v>
      </c>
      <c r="K23" s="21">
        <f t="shared" si="1"/>
        <v>192863</v>
      </c>
      <c r="L23" s="20">
        <f t="shared" ca="1" si="2"/>
        <v>90.1453301717697</v>
      </c>
      <c r="M23" s="20">
        <f t="shared" ca="1" si="3"/>
        <v>179.1453301717697</v>
      </c>
      <c r="N23" s="49">
        <f t="shared" ca="1" si="4"/>
        <v>13</v>
      </c>
      <c r="O23" s="52" t="str">
        <f t="shared" ca="1" si="5"/>
        <v>OK</v>
      </c>
    </row>
    <row r="24" spans="1:18" ht="20.25" thickTop="1" thickBot="1" x14ac:dyDescent="0.45">
      <c r="A24" s="22" t="s">
        <v>214</v>
      </c>
      <c r="B24" s="26">
        <v>0</v>
      </c>
      <c r="C24" s="26">
        <v>0</v>
      </c>
      <c r="D24" s="26">
        <v>0</v>
      </c>
      <c r="E24" s="26">
        <v>0</v>
      </c>
      <c r="F24" s="26" t="s">
        <v>188</v>
      </c>
      <c r="G24" s="26">
        <v>0</v>
      </c>
      <c r="H24" s="26">
        <v>0</v>
      </c>
      <c r="I24" s="38">
        <f t="shared" si="0"/>
        <v>0</v>
      </c>
      <c r="J24" s="8">
        <v>70</v>
      </c>
      <c r="K24" s="21">
        <f t="shared" si="1"/>
        <v>151690</v>
      </c>
      <c r="L24" s="20">
        <f t="shared" ca="1" si="2"/>
        <v>73.124666079296929</v>
      </c>
      <c r="M24" s="20">
        <f t="shared" ca="1" si="3"/>
        <v>143.12466607929693</v>
      </c>
      <c r="N24" s="49">
        <f t="shared" ca="1" si="4"/>
        <v>19</v>
      </c>
      <c r="O24" s="52" t="str">
        <f t="shared" ca="1" si="5"/>
        <v>OK</v>
      </c>
    </row>
    <row r="25" spans="1:18" ht="20.25" thickTop="1" thickBot="1" x14ac:dyDescent="0.45">
      <c r="A25" s="22" t="s">
        <v>215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38">
        <f t="shared" si="0"/>
        <v>0</v>
      </c>
      <c r="J25" s="27">
        <v>87</v>
      </c>
      <c r="K25" s="21">
        <f t="shared" si="1"/>
        <v>188529</v>
      </c>
      <c r="L25" s="20">
        <f t="shared" ca="1" si="2"/>
        <v>88.772858869804111</v>
      </c>
      <c r="M25" s="20">
        <f t="shared" ca="1" si="3"/>
        <v>175.77285886980411</v>
      </c>
      <c r="N25" s="49">
        <f t="shared" ca="1" si="4"/>
        <v>14</v>
      </c>
      <c r="O25" s="52" t="str">
        <f t="shared" ca="1" si="5"/>
        <v>OK</v>
      </c>
    </row>
    <row r="26" spans="1:18" ht="20.25" thickTop="1" thickBot="1" x14ac:dyDescent="0.45">
      <c r="A26" s="22" t="s">
        <v>216</v>
      </c>
      <c r="B26" s="26" t="s">
        <v>188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 t="s">
        <v>188</v>
      </c>
      <c r="I26" s="38">
        <f t="shared" si="0"/>
        <v>0</v>
      </c>
      <c r="J26" s="8">
        <v>85</v>
      </c>
      <c r="K26" s="21">
        <f t="shared" si="1"/>
        <v>184195</v>
      </c>
      <c r="L26" s="20">
        <f t="shared" ca="1" si="2"/>
        <v>86.929920537254048</v>
      </c>
      <c r="M26" s="20">
        <f t="shared" ca="1" si="3"/>
        <v>171.92992053725405</v>
      </c>
      <c r="N26" s="49">
        <f t="shared" ca="1" si="4"/>
        <v>15</v>
      </c>
      <c r="O26" s="52" t="str">
        <f t="shared" ca="1" si="5"/>
        <v>OK</v>
      </c>
    </row>
    <row r="27" spans="1:18" ht="20.25" thickTop="1" thickBot="1" x14ac:dyDescent="0.45">
      <c r="A27" s="48" t="s">
        <v>199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38">
        <f t="shared" si="0"/>
        <v>0</v>
      </c>
      <c r="J27" s="8">
        <v>85</v>
      </c>
      <c r="K27" s="21">
        <f t="shared" si="1"/>
        <v>184195</v>
      </c>
      <c r="L27" s="20">
        <f t="shared" ca="1" si="2"/>
        <v>86.608583847776515</v>
      </c>
      <c r="M27" s="20">
        <f t="shared" ca="1" si="3"/>
        <v>171.60858384777652</v>
      </c>
      <c r="N27" s="49">
        <f t="shared" ca="1" si="4"/>
        <v>16</v>
      </c>
      <c r="O27" s="52" t="str">
        <f t="shared" ca="1" si="5"/>
        <v>OK</v>
      </c>
    </row>
    <row r="28" spans="1:18" ht="20.25" thickTop="1" thickBot="1" x14ac:dyDescent="0.45">
      <c r="A28" s="48" t="s">
        <v>189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38">
        <f t="shared" si="0"/>
        <v>0</v>
      </c>
      <c r="J28" s="8">
        <v>70</v>
      </c>
      <c r="K28" s="21">
        <f t="shared" si="1"/>
        <v>151690</v>
      </c>
      <c r="L28" s="20">
        <f t="shared" ca="1" si="2"/>
        <v>73.0210009715544</v>
      </c>
      <c r="M28" s="20">
        <f t="shared" ca="1" si="3"/>
        <v>143.0210009715544</v>
      </c>
      <c r="N28" s="49">
        <f t="shared" ca="1" si="4"/>
        <v>20</v>
      </c>
      <c r="O28" s="52" t="str">
        <f t="shared" ca="1" si="5"/>
        <v>OK</v>
      </c>
    </row>
    <row r="29" spans="1:18" ht="19.5" thickTop="1" x14ac:dyDescent="0.4">
      <c r="A29" s="48" t="s">
        <v>174</v>
      </c>
      <c r="B29" s="26" t="s">
        <v>188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38">
        <f t="shared" si="0"/>
        <v>0</v>
      </c>
      <c r="J29" s="8">
        <v>70</v>
      </c>
      <c r="K29" s="21">
        <f t="shared" si="1"/>
        <v>151690</v>
      </c>
      <c r="L29" s="20">
        <f t="shared" ca="1" si="2"/>
        <v>70.414679089648928</v>
      </c>
      <c r="M29" s="20">
        <f t="shared" ca="1" si="3"/>
        <v>140.41467908964893</v>
      </c>
      <c r="N29" s="49">
        <f t="shared" ca="1" si="4"/>
        <v>25</v>
      </c>
      <c r="O29" s="52" t="str">
        <f t="shared" ca="1" si="5"/>
        <v>OK</v>
      </c>
    </row>
    <row r="30" spans="1:18" x14ac:dyDescent="0.25">
      <c r="J30">
        <f>SUM(J4:J29)</f>
        <v>2167</v>
      </c>
    </row>
  </sheetData>
  <sortState xmlns:xlrd2="http://schemas.microsoft.com/office/spreadsheetml/2017/richdata2" ref="A4:J29">
    <sortCondition descending="1" ref="I4:I29"/>
  </sortState>
  <conditionalFormatting sqref="B4:H29">
    <cfRule type="containsText" dxfId="64" priority="1" operator="containsText" text="DNF">
      <formula>NOT(ISERROR(SEARCH("DNF",B4)))</formula>
    </cfRule>
  </conditionalFormatting>
  <conditionalFormatting sqref="N3:N29">
    <cfRule type="cellIs" dxfId="63" priority="9" operator="lessThan">
      <formula>6</formula>
    </cfRule>
  </conditionalFormatting>
  <conditionalFormatting sqref="N4:N29">
    <cfRule type="cellIs" dxfId="62" priority="21" operator="equal">
      <formula>1</formula>
    </cfRule>
  </conditionalFormatting>
  <conditionalFormatting sqref="O4:O29">
    <cfRule type="containsText" dxfId="61" priority="20" operator="containsText" text="DNF">
      <formula>NOT(ISERROR(SEARCH("DNF",O4)))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8"/>
  <dimension ref="A1:S31"/>
  <sheetViews>
    <sheetView workbookViewId="0">
      <pane ySplit="3" topLeftCell="A4" activePane="bottomLeft" state="frozen"/>
      <selection pane="bottomLeft" activeCell="L5" sqref="L5"/>
    </sheetView>
  </sheetViews>
  <sheetFormatPr defaultRowHeight="15" x14ac:dyDescent="0.25"/>
  <cols>
    <col min="1" max="19" width="16" customWidth="1"/>
  </cols>
  <sheetData>
    <row r="1" spans="1:19" ht="21" x14ac:dyDescent="0.35">
      <c r="A1" s="1" t="s">
        <v>60</v>
      </c>
    </row>
    <row r="3" spans="1:19" ht="15.75" thickBot="1" x14ac:dyDescent="0.3">
      <c r="A3" s="7" t="s">
        <v>6</v>
      </c>
      <c r="B3" s="7" t="s">
        <v>196</v>
      </c>
      <c r="C3" s="7" t="s">
        <v>140</v>
      </c>
      <c r="D3" s="7" t="s">
        <v>141</v>
      </c>
      <c r="E3" s="7" t="s">
        <v>143</v>
      </c>
      <c r="F3" s="7" t="s">
        <v>144</v>
      </c>
      <c r="G3" s="7" t="s">
        <v>139</v>
      </c>
      <c r="H3" s="7" t="s">
        <v>160</v>
      </c>
      <c r="I3" s="7" t="s">
        <v>145</v>
      </c>
      <c r="J3" s="7" t="s">
        <v>18</v>
      </c>
      <c r="K3" s="17" t="s">
        <v>19</v>
      </c>
      <c r="L3" s="17" t="s">
        <v>158</v>
      </c>
      <c r="M3" s="16" t="s">
        <v>20</v>
      </c>
      <c r="N3" s="16" t="s">
        <v>21</v>
      </c>
      <c r="O3" s="16" t="s">
        <v>22</v>
      </c>
      <c r="P3" s="50" t="s">
        <v>187</v>
      </c>
      <c r="R3" s="3" t="s">
        <v>23</v>
      </c>
    </row>
    <row r="4" spans="1:19" ht="20.25" thickTop="1" thickBot="1" x14ac:dyDescent="0.45">
      <c r="A4" s="22" t="s">
        <v>131</v>
      </c>
      <c r="B4" s="29">
        <v>8</v>
      </c>
      <c r="C4" s="29">
        <v>8</v>
      </c>
      <c r="D4" s="26">
        <v>0</v>
      </c>
      <c r="E4" s="23">
        <v>3</v>
      </c>
      <c r="F4" s="29">
        <v>8</v>
      </c>
      <c r="G4" s="29">
        <v>9</v>
      </c>
      <c r="H4" s="29">
        <v>9</v>
      </c>
      <c r="I4" s="29">
        <v>8</v>
      </c>
      <c r="J4" s="38">
        <f t="shared" ref="J4:J30" si="0">SUM(B4:I4)</f>
        <v>53</v>
      </c>
      <c r="K4" s="27">
        <v>97</v>
      </c>
      <c r="L4" s="21">
        <f>K4*$K$31</f>
        <v>219899</v>
      </c>
      <c r="M4" s="20">
        <f ca="1">K4+RAND()*6</f>
        <v>97.98307720026952</v>
      </c>
      <c r="N4" s="20">
        <f ca="1">K4+M4</f>
        <v>194.98307720026952</v>
      </c>
      <c r="O4" s="49">
        <f ca="1">RANK(N4,$N$4:$N$29,0)</f>
        <v>3</v>
      </c>
      <c r="P4" s="51" t="str">
        <f ca="1">IF(RAND()&lt;0.08,"DNF","OK")</f>
        <v>OK</v>
      </c>
      <c r="R4" t="s">
        <v>26</v>
      </c>
    </row>
    <row r="5" spans="1:19" ht="20.25" thickTop="1" thickBot="1" x14ac:dyDescent="0.45">
      <c r="A5" s="22" t="s">
        <v>195</v>
      </c>
      <c r="B5" s="26">
        <v>7</v>
      </c>
      <c r="C5" s="26">
        <v>6</v>
      </c>
      <c r="D5" s="26">
        <v>0</v>
      </c>
      <c r="E5" s="29">
        <v>9</v>
      </c>
      <c r="F5" s="26">
        <v>7</v>
      </c>
      <c r="G5" s="23">
        <v>6</v>
      </c>
      <c r="H5" s="26">
        <v>6</v>
      </c>
      <c r="I5" s="26">
        <v>7</v>
      </c>
      <c r="J5" s="38">
        <f t="shared" si="0"/>
        <v>48</v>
      </c>
      <c r="K5" s="27">
        <v>97</v>
      </c>
      <c r="L5" s="21">
        <f t="shared" ref="L5:L30" si="1">K5*$K$30</f>
        <v>6790</v>
      </c>
      <c r="M5" s="20">
        <f t="shared" ref="M5:M29" ca="1" si="2">K5+RAND()*6</f>
        <v>101.87396934945966</v>
      </c>
      <c r="N5" s="20">
        <f t="shared" ref="N5:N30" ca="1" si="3">K5+M5</f>
        <v>198.87396934945966</v>
      </c>
      <c r="O5" s="49">
        <f t="shared" ref="O5:O28" ca="1" si="4">RANK(N5,$N$4:$N$29,0)</f>
        <v>1</v>
      </c>
      <c r="P5" s="52" t="str">
        <f t="shared" ref="P5:P30" ca="1" si="5">IF(RAND()&lt;0.08,"DNF","OK")</f>
        <v>OK</v>
      </c>
      <c r="R5" t="s">
        <v>29</v>
      </c>
    </row>
    <row r="6" spans="1:19" ht="20.25" thickTop="1" thickBot="1" x14ac:dyDescent="0.45">
      <c r="A6" s="22" t="s">
        <v>207</v>
      </c>
      <c r="B6" s="26">
        <v>4</v>
      </c>
      <c r="C6" s="26">
        <v>2</v>
      </c>
      <c r="D6" s="26">
        <v>0</v>
      </c>
      <c r="E6" s="26">
        <v>2</v>
      </c>
      <c r="F6" s="26">
        <v>1</v>
      </c>
      <c r="G6" s="26">
        <v>4</v>
      </c>
      <c r="H6" s="26">
        <v>4</v>
      </c>
      <c r="I6" s="26">
        <v>2</v>
      </c>
      <c r="J6" s="38">
        <f t="shared" si="0"/>
        <v>19</v>
      </c>
      <c r="K6" s="27">
        <v>95</v>
      </c>
      <c r="L6" s="21">
        <f t="shared" si="1"/>
        <v>6650</v>
      </c>
      <c r="M6" s="20">
        <f t="shared" ca="1" si="2"/>
        <v>97.885857262360759</v>
      </c>
      <c r="N6" s="20">
        <f t="shared" ca="1" si="3"/>
        <v>192.88585726236076</v>
      </c>
      <c r="O6" s="49">
        <f t="shared" ca="1" si="4"/>
        <v>5</v>
      </c>
      <c r="P6" s="53" t="str">
        <f t="shared" ca="1" si="5"/>
        <v>OK</v>
      </c>
      <c r="R6" t="s">
        <v>32</v>
      </c>
    </row>
    <row r="7" spans="1:19" ht="20.25" thickTop="1" thickBot="1" x14ac:dyDescent="0.45">
      <c r="A7" s="22" t="s">
        <v>155</v>
      </c>
      <c r="B7" s="26">
        <v>1</v>
      </c>
      <c r="C7" s="26">
        <v>4</v>
      </c>
      <c r="D7" s="26">
        <v>0</v>
      </c>
      <c r="E7" s="26">
        <v>4</v>
      </c>
      <c r="F7" s="26">
        <v>0</v>
      </c>
      <c r="G7" s="26">
        <v>1</v>
      </c>
      <c r="H7" s="26">
        <v>2</v>
      </c>
      <c r="I7" s="26">
        <v>4</v>
      </c>
      <c r="J7" s="38">
        <f t="shared" si="0"/>
        <v>16</v>
      </c>
      <c r="K7" s="8">
        <v>95</v>
      </c>
      <c r="L7" s="21">
        <f t="shared" si="1"/>
        <v>6650</v>
      </c>
      <c r="M7" s="20">
        <f t="shared" ca="1" si="2"/>
        <v>99.326780726113611</v>
      </c>
      <c r="N7" s="20">
        <f t="shared" ca="1" si="3"/>
        <v>194.32678072611361</v>
      </c>
      <c r="O7" s="49">
        <f t="shared" ca="1" si="4"/>
        <v>4</v>
      </c>
      <c r="P7" s="52" t="str">
        <f t="shared" ca="1" si="5"/>
        <v>OK</v>
      </c>
      <c r="R7" t="s">
        <v>35</v>
      </c>
    </row>
    <row r="8" spans="1:19" ht="20.25" thickTop="1" thickBot="1" x14ac:dyDescent="0.45">
      <c r="A8" s="22" t="s">
        <v>208</v>
      </c>
      <c r="B8" s="26">
        <v>0</v>
      </c>
      <c r="C8" s="26">
        <v>3</v>
      </c>
      <c r="D8" s="23">
        <v>0</v>
      </c>
      <c r="E8" s="26">
        <v>0</v>
      </c>
      <c r="F8" s="26">
        <v>4</v>
      </c>
      <c r="G8" s="26">
        <v>0</v>
      </c>
      <c r="H8" s="26">
        <v>3</v>
      </c>
      <c r="I8" s="26">
        <v>0</v>
      </c>
      <c r="J8" s="38">
        <f t="shared" si="0"/>
        <v>10</v>
      </c>
      <c r="K8" s="8">
        <v>94</v>
      </c>
      <c r="L8" s="21">
        <f t="shared" si="1"/>
        <v>6580</v>
      </c>
      <c r="M8" s="20">
        <f t="shared" ca="1" si="2"/>
        <v>94.756322467294538</v>
      </c>
      <c r="N8" s="20">
        <f t="shared" ca="1" si="3"/>
        <v>188.75632246729452</v>
      </c>
      <c r="O8" s="49">
        <f t="shared" ca="1" si="4"/>
        <v>7</v>
      </c>
      <c r="P8" s="53" t="str">
        <f t="shared" ca="1" si="5"/>
        <v>OK</v>
      </c>
      <c r="R8" t="s">
        <v>38</v>
      </c>
    </row>
    <row r="9" spans="1:19" ht="20.25" thickTop="1" thickBot="1" x14ac:dyDescent="0.45">
      <c r="A9" s="22" t="s">
        <v>219</v>
      </c>
      <c r="B9" s="26">
        <v>0</v>
      </c>
      <c r="C9" s="23" t="s">
        <v>188</v>
      </c>
      <c r="D9" s="26">
        <v>0</v>
      </c>
      <c r="E9" s="26">
        <v>6</v>
      </c>
      <c r="F9" s="26">
        <v>0</v>
      </c>
      <c r="G9" s="26">
        <v>2</v>
      </c>
      <c r="H9" s="26" t="s">
        <v>188</v>
      </c>
      <c r="I9" s="26" t="s">
        <v>188</v>
      </c>
      <c r="J9" s="38">
        <f t="shared" si="0"/>
        <v>8</v>
      </c>
      <c r="K9" s="8">
        <v>95</v>
      </c>
      <c r="L9" s="21">
        <f t="shared" si="1"/>
        <v>6650</v>
      </c>
      <c r="M9" s="20">
        <f t="shared" ca="1" si="2"/>
        <v>100.65313808793216</v>
      </c>
      <c r="N9" s="20">
        <f t="shared" ca="1" si="3"/>
        <v>195.65313808793218</v>
      </c>
      <c r="O9" s="49">
        <f t="shared" ca="1" si="4"/>
        <v>2</v>
      </c>
      <c r="P9" s="52" t="str">
        <f t="shared" ca="1" si="5"/>
        <v>OK</v>
      </c>
    </row>
    <row r="10" spans="1:19" ht="20.25" thickTop="1" thickBot="1" x14ac:dyDescent="0.45">
      <c r="A10" s="22" t="s">
        <v>220</v>
      </c>
      <c r="B10" s="26">
        <v>0</v>
      </c>
      <c r="C10" s="26" t="s">
        <v>188</v>
      </c>
      <c r="D10" s="29">
        <v>8</v>
      </c>
      <c r="E10" s="26">
        <v>0</v>
      </c>
      <c r="F10" s="23">
        <v>0</v>
      </c>
      <c r="G10" s="26">
        <v>0</v>
      </c>
      <c r="H10" s="26">
        <v>0</v>
      </c>
      <c r="I10" s="26">
        <v>0</v>
      </c>
      <c r="J10" s="38">
        <f t="shared" si="0"/>
        <v>8</v>
      </c>
      <c r="K10" s="27">
        <v>70</v>
      </c>
      <c r="L10" s="21">
        <f t="shared" si="1"/>
        <v>4900</v>
      </c>
      <c r="M10" s="20">
        <f t="shared" ca="1" si="2"/>
        <v>75.206587707050673</v>
      </c>
      <c r="N10" s="20">
        <f t="shared" ca="1" si="3"/>
        <v>145.20658770705069</v>
      </c>
      <c r="O10" s="49">
        <f t="shared" ca="1" si="4"/>
        <v>21</v>
      </c>
      <c r="P10" s="53" t="str">
        <f t="shared" ca="1" si="5"/>
        <v>OK</v>
      </c>
    </row>
    <row r="11" spans="1:19" ht="20.25" thickTop="1" thickBot="1" x14ac:dyDescent="0.45">
      <c r="A11" s="22" t="s">
        <v>174</v>
      </c>
      <c r="B11" s="23">
        <v>2</v>
      </c>
      <c r="C11" s="26">
        <v>0</v>
      </c>
      <c r="D11" s="23">
        <v>0</v>
      </c>
      <c r="E11" s="26">
        <v>0</v>
      </c>
      <c r="F11" s="26">
        <v>2</v>
      </c>
      <c r="G11" s="26">
        <v>0</v>
      </c>
      <c r="H11" s="23">
        <v>0</v>
      </c>
      <c r="I11" s="26">
        <v>3</v>
      </c>
      <c r="J11" s="38">
        <f t="shared" si="0"/>
        <v>7</v>
      </c>
      <c r="K11" s="8">
        <v>94</v>
      </c>
      <c r="L11" s="21">
        <f t="shared" si="1"/>
        <v>6580</v>
      </c>
      <c r="M11" s="20">
        <f t="shared" ca="1" si="2"/>
        <v>97.649780882777208</v>
      </c>
      <c r="N11" s="20">
        <f t="shared" ca="1" si="3"/>
        <v>191.64978088277721</v>
      </c>
      <c r="O11" s="49">
        <f t="shared" ca="1" si="4"/>
        <v>6</v>
      </c>
      <c r="P11" s="52" t="str">
        <f t="shared" ca="1" si="5"/>
        <v>OK</v>
      </c>
      <c r="R11" s="3" t="s">
        <v>42</v>
      </c>
    </row>
    <row r="12" spans="1:19" ht="20.25" thickTop="1" thickBot="1" x14ac:dyDescent="0.45">
      <c r="A12" s="22" t="s">
        <v>178</v>
      </c>
      <c r="B12" s="26">
        <v>0</v>
      </c>
      <c r="C12" s="26">
        <v>0</v>
      </c>
      <c r="D12" s="26">
        <v>6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38">
        <f t="shared" si="0"/>
        <v>6</v>
      </c>
      <c r="K12" s="8">
        <v>70</v>
      </c>
      <c r="L12" s="21">
        <f t="shared" si="1"/>
        <v>4900</v>
      </c>
      <c r="M12" s="20">
        <f t="shared" ca="1" si="2"/>
        <v>71.29127070362712</v>
      </c>
      <c r="N12" s="20">
        <f t="shared" ca="1" si="3"/>
        <v>141.29127070362711</v>
      </c>
      <c r="O12" s="49">
        <f t="shared" ca="1" si="4"/>
        <v>26</v>
      </c>
      <c r="P12" s="53" t="str">
        <f t="shared" ca="1" si="5"/>
        <v>OK</v>
      </c>
      <c r="R12">
        <v>1</v>
      </c>
      <c r="S12">
        <v>8</v>
      </c>
    </row>
    <row r="13" spans="1:19" ht="20.25" thickTop="1" thickBot="1" x14ac:dyDescent="0.45">
      <c r="A13" s="22" t="s">
        <v>223</v>
      </c>
      <c r="B13" s="26">
        <v>0</v>
      </c>
      <c r="C13" s="26">
        <v>0</v>
      </c>
      <c r="D13" s="26">
        <v>4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38">
        <f t="shared" si="0"/>
        <v>4</v>
      </c>
      <c r="K13" s="8">
        <v>70</v>
      </c>
      <c r="L13" s="21">
        <f t="shared" si="1"/>
        <v>4900</v>
      </c>
      <c r="M13" s="20">
        <f t="shared" ca="1" si="2"/>
        <v>74.335976260644017</v>
      </c>
      <c r="N13" s="20">
        <f t="shared" ca="1" si="3"/>
        <v>144.33597626064403</v>
      </c>
      <c r="O13" s="49">
        <f t="shared" ca="1" si="4"/>
        <v>22</v>
      </c>
      <c r="P13" s="52" t="str">
        <f t="shared" ca="1" si="5"/>
        <v>OK</v>
      </c>
      <c r="R13">
        <v>2</v>
      </c>
      <c r="S13">
        <v>6</v>
      </c>
    </row>
    <row r="14" spans="1:19" ht="20.25" thickTop="1" thickBot="1" x14ac:dyDescent="0.45">
      <c r="A14" s="22" t="s">
        <v>135</v>
      </c>
      <c r="B14" s="26">
        <v>0</v>
      </c>
      <c r="C14" s="26">
        <v>0</v>
      </c>
      <c r="D14" s="26">
        <v>3</v>
      </c>
      <c r="E14" s="26" t="s">
        <v>188</v>
      </c>
      <c r="F14" s="26">
        <v>0</v>
      </c>
      <c r="G14" s="26">
        <v>0</v>
      </c>
      <c r="H14" s="26">
        <v>0</v>
      </c>
      <c r="I14" s="26">
        <v>0</v>
      </c>
      <c r="J14" s="38">
        <f t="shared" si="0"/>
        <v>3</v>
      </c>
      <c r="K14" s="8">
        <v>79</v>
      </c>
      <c r="L14" s="21">
        <f t="shared" si="1"/>
        <v>5530</v>
      </c>
      <c r="M14" s="20">
        <f t="shared" ca="1" si="2"/>
        <v>81.138502687384388</v>
      </c>
      <c r="N14" s="20">
        <f t="shared" ca="1" si="3"/>
        <v>160.1385026873844</v>
      </c>
      <c r="O14" s="49">
        <f t="shared" ca="1" si="4"/>
        <v>18</v>
      </c>
      <c r="P14" s="53" t="str">
        <f t="shared" ca="1" si="5"/>
        <v>OK</v>
      </c>
      <c r="R14">
        <v>3</v>
      </c>
      <c r="S14">
        <v>4</v>
      </c>
    </row>
    <row r="15" spans="1:19" ht="20.25" thickTop="1" thickBot="1" x14ac:dyDescent="0.45">
      <c r="A15" s="22" t="s">
        <v>230</v>
      </c>
      <c r="B15" s="26">
        <v>0</v>
      </c>
      <c r="C15" s="26">
        <v>0</v>
      </c>
      <c r="D15" s="26">
        <v>2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38">
        <f t="shared" si="0"/>
        <v>2</v>
      </c>
      <c r="K15" s="8">
        <v>70</v>
      </c>
      <c r="L15" s="21">
        <f t="shared" si="1"/>
        <v>4900</v>
      </c>
      <c r="M15" s="20">
        <f t="shared" ca="1" si="2"/>
        <v>72.139195564538625</v>
      </c>
      <c r="N15" s="20">
        <f t="shared" ca="1" si="3"/>
        <v>142.13919556453862</v>
      </c>
      <c r="O15" s="49">
        <f t="shared" ca="1" si="4"/>
        <v>24</v>
      </c>
      <c r="P15" s="52" t="str">
        <f t="shared" ca="1" si="5"/>
        <v>OK</v>
      </c>
      <c r="R15">
        <v>4</v>
      </c>
      <c r="S15">
        <v>3</v>
      </c>
    </row>
    <row r="16" spans="1:19" ht="20.25" thickTop="1" thickBot="1" x14ac:dyDescent="0.45">
      <c r="A16" s="22" t="s">
        <v>185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38">
        <f t="shared" si="0"/>
        <v>0</v>
      </c>
      <c r="K16" s="8">
        <v>70</v>
      </c>
      <c r="L16" s="21">
        <f t="shared" si="1"/>
        <v>4900</v>
      </c>
      <c r="M16" s="20">
        <f t="shared" ca="1" si="2"/>
        <v>75.729433550809787</v>
      </c>
      <c r="N16" s="20">
        <f t="shared" ca="1" si="3"/>
        <v>145.7294335508098</v>
      </c>
      <c r="O16" s="49">
        <f t="shared" ca="1" si="4"/>
        <v>20</v>
      </c>
      <c r="P16" s="53" t="str">
        <f t="shared" ca="1" si="5"/>
        <v>DNF</v>
      </c>
      <c r="R16">
        <v>5</v>
      </c>
      <c r="S16">
        <v>2</v>
      </c>
    </row>
    <row r="17" spans="1:19" ht="20.25" thickTop="1" thickBot="1" x14ac:dyDescent="0.45">
      <c r="A17" s="22" t="s">
        <v>221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 t="s">
        <v>188</v>
      </c>
      <c r="H17" s="26">
        <v>0</v>
      </c>
      <c r="I17" s="26" t="s">
        <v>188</v>
      </c>
      <c r="J17" s="38">
        <f t="shared" si="0"/>
        <v>0</v>
      </c>
      <c r="K17" s="27">
        <v>89</v>
      </c>
      <c r="L17" s="21">
        <f t="shared" si="1"/>
        <v>6230</v>
      </c>
      <c r="M17" s="20">
        <f t="shared" ca="1" si="2"/>
        <v>92.805027449396661</v>
      </c>
      <c r="N17" s="20">
        <f t="shared" ca="1" si="3"/>
        <v>181.80502744939668</v>
      </c>
      <c r="O17" s="49">
        <f t="shared" ca="1" si="4"/>
        <v>10</v>
      </c>
      <c r="P17" s="52" t="str">
        <f t="shared" ca="1" si="5"/>
        <v>OK</v>
      </c>
      <c r="R17">
        <v>6</v>
      </c>
      <c r="S17">
        <v>0</v>
      </c>
    </row>
    <row r="18" spans="1:19" ht="20.25" thickTop="1" thickBot="1" x14ac:dyDescent="0.45">
      <c r="A18" s="22" t="s">
        <v>222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38">
        <f t="shared" si="0"/>
        <v>0</v>
      </c>
      <c r="K18" s="27">
        <v>85</v>
      </c>
      <c r="L18" s="21">
        <f t="shared" si="1"/>
        <v>5950</v>
      </c>
      <c r="M18" s="20">
        <f t="shared" ca="1" si="2"/>
        <v>85.34693005173439</v>
      </c>
      <c r="N18" s="20">
        <f t="shared" ca="1" si="3"/>
        <v>170.34693005173438</v>
      </c>
      <c r="O18" s="49">
        <f t="shared" ca="1" si="4"/>
        <v>17</v>
      </c>
      <c r="P18" s="53" t="str">
        <f t="shared" ca="1" si="5"/>
        <v>OK</v>
      </c>
      <c r="R18">
        <v>7</v>
      </c>
      <c r="S18">
        <v>0</v>
      </c>
    </row>
    <row r="19" spans="1:19" ht="20.25" thickTop="1" thickBot="1" x14ac:dyDescent="0.45">
      <c r="A19" s="22" t="s">
        <v>201</v>
      </c>
      <c r="B19" s="26">
        <v>0</v>
      </c>
      <c r="C19" s="26">
        <v>0</v>
      </c>
      <c r="D19" s="26">
        <v>0</v>
      </c>
      <c r="E19" s="26">
        <v>0</v>
      </c>
      <c r="F19" s="26" t="s">
        <v>188</v>
      </c>
      <c r="G19" s="26">
        <v>0</v>
      </c>
      <c r="H19" s="26">
        <v>0</v>
      </c>
      <c r="I19" s="26">
        <v>0</v>
      </c>
      <c r="J19" s="38">
        <f t="shared" si="0"/>
        <v>0</v>
      </c>
      <c r="K19" s="27">
        <v>89</v>
      </c>
      <c r="L19" s="21">
        <f t="shared" si="1"/>
        <v>6230</v>
      </c>
      <c r="M19" s="20">
        <f t="shared" ca="1" si="2"/>
        <v>92.703469116296105</v>
      </c>
      <c r="N19" s="20">
        <f t="shared" ca="1" si="3"/>
        <v>181.70346911629611</v>
      </c>
      <c r="O19" s="49">
        <f t="shared" ca="1" si="4"/>
        <v>11</v>
      </c>
      <c r="P19" s="52" t="str">
        <f t="shared" ca="1" si="5"/>
        <v>OK</v>
      </c>
      <c r="R19">
        <v>8</v>
      </c>
      <c r="S19">
        <v>0</v>
      </c>
    </row>
    <row r="20" spans="1:19" ht="20.25" thickTop="1" thickBot="1" x14ac:dyDescent="0.45">
      <c r="A20" s="22" t="s">
        <v>224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38">
        <f t="shared" si="0"/>
        <v>0</v>
      </c>
      <c r="K20" s="8">
        <v>75</v>
      </c>
      <c r="L20" s="21">
        <f t="shared" si="1"/>
        <v>5250</v>
      </c>
      <c r="M20" s="20">
        <f t="shared" ca="1" si="2"/>
        <v>77.508624326226936</v>
      </c>
      <c r="N20" s="20">
        <f t="shared" ca="1" si="3"/>
        <v>152.50862432622694</v>
      </c>
      <c r="O20" s="49">
        <f t="shared" ca="1" si="4"/>
        <v>19</v>
      </c>
      <c r="P20" s="53" t="str">
        <f t="shared" ca="1" si="5"/>
        <v>OK</v>
      </c>
      <c r="R20">
        <v>9</v>
      </c>
      <c r="S20">
        <v>0</v>
      </c>
    </row>
    <row r="21" spans="1:19" ht="20.25" thickTop="1" thickBot="1" x14ac:dyDescent="0.45">
      <c r="A21" s="22" t="s">
        <v>214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 t="s">
        <v>188</v>
      </c>
      <c r="I21" s="26">
        <v>0</v>
      </c>
      <c r="J21" s="38">
        <f t="shared" si="0"/>
        <v>0</v>
      </c>
      <c r="K21" s="27">
        <v>89</v>
      </c>
      <c r="L21" s="21">
        <f t="shared" si="1"/>
        <v>6230</v>
      </c>
      <c r="M21" s="20">
        <f t="shared" ca="1" si="2"/>
        <v>90.502221249994577</v>
      </c>
      <c r="N21" s="20">
        <f t="shared" ca="1" si="3"/>
        <v>179.50222124999459</v>
      </c>
      <c r="O21" s="49">
        <f t="shared" ca="1" si="4"/>
        <v>14</v>
      </c>
      <c r="P21" s="52" t="str">
        <f t="shared" ca="1" si="5"/>
        <v>DNF</v>
      </c>
      <c r="R21">
        <v>10</v>
      </c>
      <c r="S21">
        <v>0</v>
      </c>
    </row>
    <row r="22" spans="1:19" ht="20.25" thickTop="1" thickBot="1" x14ac:dyDescent="0.45">
      <c r="A22" s="22" t="s">
        <v>225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38">
        <f t="shared" si="0"/>
        <v>0</v>
      </c>
      <c r="K22" s="8">
        <v>90</v>
      </c>
      <c r="L22" s="21">
        <f t="shared" si="1"/>
        <v>6300</v>
      </c>
      <c r="M22" s="20">
        <f t="shared" ca="1" si="2"/>
        <v>93.576133419670697</v>
      </c>
      <c r="N22" s="20">
        <f t="shared" ca="1" si="3"/>
        <v>183.5761334196707</v>
      </c>
      <c r="O22" s="49">
        <f t="shared" ca="1" si="4"/>
        <v>9</v>
      </c>
      <c r="P22" s="53" t="str">
        <f t="shared" ca="1" si="5"/>
        <v>OK</v>
      </c>
    </row>
    <row r="23" spans="1:19" ht="20.25" thickTop="1" thickBot="1" x14ac:dyDescent="0.45">
      <c r="A23" s="22" t="s">
        <v>226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38">
        <f t="shared" si="0"/>
        <v>0</v>
      </c>
      <c r="K23" s="8">
        <v>88</v>
      </c>
      <c r="L23" s="21">
        <f t="shared" si="1"/>
        <v>6160</v>
      </c>
      <c r="M23" s="20">
        <f t="shared" ca="1" si="2"/>
        <v>89.397996946571183</v>
      </c>
      <c r="N23" s="20">
        <f t="shared" ca="1" si="3"/>
        <v>177.3979969465712</v>
      </c>
      <c r="O23" s="49">
        <f t="shared" ca="1" si="4"/>
        <v>15</v>
      </c>
      <c r="P23" s="52" t="str">
        <f t="shared" ca="1" si="5"/>
        <v>OK</v>
      </c>
    </row>
    <row r="24" spans="1:19" ht="20.25" thickTop="1" thickBot="1" x14ac:dyDescent="0.45">
      <c r="A24" s="22" t="s">
        <v>133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38">
        <f t="shared" si="0"/>
        <v>0</v>
      </c>
      <c r="K24" s="8">
        <v>87</v>
      </c>
      <c r="L24" s="21">
        <f t="shared" si="1"/>
        <v>6090</v>
      </c>
      <c r="M24" s="20">
        <f t="shared" ca="1" si="2"/>
        <v>88.341512357696999</v>
      </c>
      <c r="N24" s="20">
        <f t="shared" ca="1" si="3"/>
        <v>175.34151235769701</v>
      </c>
      <c r="O24" s="49">
        <f t="shared" ca="1" si="4"/>
        <v>16</v>
      </c>
      <c r="P24" s="52" t="str">
        <f t="shared" ca="1" si="5"/>
        <v>OK</v>
      </c>
    </row>
    <row r="25" spans="1:19" ht="20.25" thickTop="1" thickBot="1" x14ac:dyDescent="0.45">
      <c r="A25" s="22" t="s">
        <v>227</v>
      </c>
      <c r="B25" s="26">
        <v>0</v>
      </c>
      <c r="C25" s="26" t="s">
        <v>188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38">
        <f t="shared" si="0"/>
        <v>0</v>
      </c>
      <c r="K25" s="8">
        <v>90</v>
      </c>
      <c r="L25" s="21">
        <f t="shared" si="1"/>
        <v>6300</v>
      </c>
      <c r="M25" s="20">
        <f t="shared" ca="1" si="2"/>
        <v>94.608405390248976</v>
      </c>
      <c r="N25" s="20">
        <f t="shared" ca="1" si="3"/>
        <v>184.60840539024898</v>
      </c>
      <c r="O25" s="49">
        <f t="shared" ca="1" si="4"/>
        <v>8</v>
      </c>
      <c r="P25" s="52" t="str">
        <f t="shared" ca="1" si="5"/>
        <v>OK</v>
      </c>
    </row>
    <row r="26" spans="1:19" ht="20.25" thickTop="1" thickBot="1" x14ac:dyDescent="0.45">
      <c r="A26" s="22" t="s">
        <v>228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38">
        <f t="shared" si="0"/>
        <v>0</v>
      </c>
      <c r="K26" s="27">
        <v>90</v>
      </c>
      <c r="L26" s="21">
        <f t="shared" si="1"/>
        <v>6300</v>
      </c>
      <c r="M26" s="20">
        <f t="shared" ca="1" si="2"/>
        <v>91.369153170634803</v>
      </c>
      <c r="N26" s="20">
        <f t="shared" ca="1" si="3"/>
        <v>181.3691531706348</v>
      </c>
      <c r="O26" s="49">
        <f t="shared" ca="1" si="4"/>
        <v>12</v>
      </c>
      <c r="P26" s="52" t="str">
        <f t="shared" ca="1" si="5"/>
        <v>OK</v>
      </c>
    </row>
    <row r="27" spans="1:19" ht="20.25" thickTop="1" thickBot="1" x14ac:dyDescent="0.45">
      <c r="A27" s="22" t="s">
        <v>229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 t="s">
        <v>188</v>
      </c>
      <c r="J27" s="38">
        <f t="shared" si="0"/>
        <v>0</v>
      </c>
      <c r="K27" s="8">
        <v>89</v>
      </c>
      <c r="L27" s="21">
        <f t="shared" si="1"/>
        <v>6230</v>
      </c>
      <c r="M27" s="20">
        <f t="shared" ca="1" si="2"/>
        <v>90.783683570872114</v>
      </c>
      <c r="N27" s="20">
        <f t="shared" ca="1" si="3"/>
        <v>179.78368357087211</v>
      </c>
      <c r="O27" s="49">
        <f t="shared" ca="1" si="4"/>
        <v>13</v>
      </c>
      <c r="P27" s="52" t="str">
        <f t="shared" ca="1" si="5"/>
        <v>OK</v>
      </c>
    </row>
    <row r="28" spans="1:19" ht="20.25" thickTop="1" thickBot="1" x14ac:dyDescent="0.45">
      <c r="A28" s="22" t="s">
        <v>231</v>
      </c>
      <c r="B28" s="26">
        <v>0</v>
      </c>
      <c r="C28" s="26">
        <v>0</v>
      </c>
      <c r="D28" s="26">
        <v>0</v>
      </c>
      <c r="E28" s="26" t="s">
        <v>188</v>
      </c>
      <c r="F28" s="26">
        <v>0</v>
      </c>
      <c r="G28" s="26" t="s">
        <v>188</v>
      </c>
      <c r="H28" s="26">
        <v>0</v>
      </c>
      <c r="I28" s="26">
        <v>0</v>
      </c>
      <c r="J28" s="38">
        <f t="shared" si="0"/>
        <v>0</v>
      </c>
      <c r="K28" s="8">
        <v>70</v>
      </c>
      <c r="L28" s="21">
        <f t="shared" si="1"/>
        <v>4900</v>
      </c>
      <c r="M28" s="20">
        <f t="shared" ca="1" si="2"/>
        <v>73.65232444113002</v>
      </c>
      <c r="N28" s="20">
        <f t="shared" ca="1" si="3"/>
        <v>143.65232444113002</v>
      </c>
      <c r="O28" s="49">
        <f t="shared" ca="1" si="4"/>
        <v>23</v>
      </c>
      <c r="P28" s="52" t="str">
        <f t="shared" ca="1" si="5"/>
        <v>OK</v>
      </c>
    </row>
    <row r="29" spans="1:19" ht="20.25" thickTop="1" thickBot="1" x14ac:dyDescent="0.45">
      <c r="A29" s="22" t="s">
        <v>232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 t="s">
        <v>188</v>
      </c>
      <c r="H29" s="26">
        <v>0</v>
      </c>
      <c r="I29" s="26">
        <v>0</v>
      </c>
      <c r="J29" s="38">
        <f t="shared" si="0"/>
        <v>0</v>
      </c>
      <c r="K29" s="8">
        <v>70</v>
      </c>
      <c r="L29" s="21">
        <f t="shared" si="1"/>
        <v>4900</v>
      </c>
      <c r="M29" s="20">
        <f t="shared" ca="1" si="2"/>
        <v>71.357759193972271</v>
      </c>
      <c r="N29" s="20">
        <f t="shared" ca="1" si="3"/>
        <v>141.35775919397227</v>
      </c>
      <c r="O29" s="49">
        <f ca="1">RANK(N29:N30,$N$4:$N$29,0)</f>
        <v>25</v>
      </c>
      <c r="P29" s="52" t="str">
        <f t="shared" ca="1" si="5"/>
        <v>OK</v>
      </c>
    </row>
    <row r="30" spans="1:19" ht="19.5" thickTop="1" x14ac:dyDescent="0.4">
      <c r="A30" s="22" t="s">
        <v>194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38">
        <f t="shared" si="0"/>
        <v>0</v>
      </c>
      <c r="K30" s="8">
        <v>70</v>
      </c>
      <c r="L30" s="21">
        <f t="shared" si="1"/>
        <v>4900</v>
      </c>
      <c r="M30" s="20">
        <f ca="1">K30+RAND()*6</f>
        <v>75.080729987979595</v>
      </c>
      <c r="N30" s="20">
        <f t="shared" ca="1" si="3"/>
        <v>145.08072998797959</v>
      </c>
      <c r="O30" s="49">
        <f ca="1">RANK(N30,$N$4:$N$30,0)</f>
        <v>22</v>
      </c>
      <c r="P30" s="52" t="str">
        <f t="shared" ca="1" si="5"/>
        <v>OK</v>
      </c>
    </row>
    <row r="31" spans="1:19" x14ac:dyDescent="0.25">
      <c r="K31">
        <f>SUM(K4:K30)</f>
        <v>2267</v>
      </c>
    </row>
  </sheetData>
  <sortState xmlns:xlrd2="http://schemas.microsoft.com/office/spreadsheetml/2017/richdata2" ref="A4:K30">
    <sortCondition descending="1" ref="J4:J30"/>
  </sortState>
  <conditionalFormatting sqref="B4:E5">
    <cfRule type="containsText" dxfId="60" priority="9" operator="containsText" text="DNF">
      <formula>NOT(ISERROR(SEARCH("DNF",B4)))</formula>
    </cfRule>
  </conditionalFormatting>
  <conditionalFormatting sqref="B6:H30">
    <cfRule type="containsText" dxfId="59" priority="10" operator="containsText" text="DNF">
      <formula>NOT(ISERROR(SEARCH("DNF",B6)))</formula>
    </cfRule>
  </conditionalFormatting>
  <conditionalFormatting sqref="F4:I4">
    <cfRule type="containsText" dxfId="58" priority="8" operator="containsText" text="DNF">
      <formula>NOT(ISERROR(SEARCH("DNF",F4)))</formula>
    </cfRule>
  </conditionalFormatting>
  <conditionalFormatting sqref="I5:I30">
    <cfRule type="containsText" dxfId="57" priority="1" operator="containsText" text="DNF">
      <formula>NOT(ISERROR(SEARCH("DNF",I5)))</formula>
    </cfRule>
  </conditionalFormatting>
  <conditionalFormatting sqref="O3:O30">
    <cfRule type="cellIs" dxfId="56" priority="19" operator="lessThan">
      <formula>6</formula>
    </cfRule>
  </conditionalFormatting>
  <conditionalFormatting sqref="O4:O30">
    <cfRule type="cellIs" dxfId="55" priority="27" operator="equal">
      <formula>1</formula>
    </cfRule>
  </conditionalFormatting>
  <conditionalFormatting sqref="P4:P30 F5:H5">
    <cfRule type="containsText" dxfId="54" priority="26" operator="containsText" text="DNF">
      <formula>NOT(ISERROR(SEARCH("DNF",F4)))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9"/>
  <dimension ref="A1:S29"/>
  <sheetViews>
    <sheetView workbookViewId="0">
      <pane ySplit="3" topLeftCell="A5" activePane="bottomLeft" state="frozen"/>
      <selection pane="bottomLeft" activeCell="D9" sqref="D9"/>
    </sheetView>
  </sheetViews>
  <sheetFormatPr defaultRowHeight="15" x14ac:dyDescent="0.25"/>
  <cols>
    <col min="1" max="19" width="16" customWidth="1"/>
  </cols>
  <sheetData>
    <row r="1" spans="1:19" ht="21" x14ac:dyDescent="0.35">
      <c r="A1" s="1" t="s">
        <v>61</v>
      </c>
    </row>
    <row r="3" spans="1:19" ht="15.75" thickBot="1" x14ac:dyDescent="0.3">
      <c r="A3" s="7" t="s">
        <v>6</v>
      </c>
      <c r="B3" s="16" t="s">
        <v>196</v>
      </c>
      <c r="C3" s="16" t="s">
        <v>140</v>
      </c>
      <c r="D3" s="16" t="s">
        <v>141</v>
      </c>
      <c r="E3" s="16" t="s">
        <v>144</v>
      </c>
      <c r="F3" s="16" t="s">
        <v>139</v>
      </c>
      <c r="G3" s="16" t="s">
        <v>160</v>
      </c>
      <c r="H3" s="16" t="s">
        <v>239</v>
      </c>
      <c r="I3" s="16" t="s">
        <v>145</v>
      </c>
      <c r="J3" s="16" t="s">
        <v>18</v>
      </c>
      <c r="K3" s="17" t="s">
        <v>19</v>
      </c>
      <c r="L3" s="17" t="s">
        <v>158</v>
      </c>
      <c r="M3" s="16" t="s">
        <v>20</v>
      </c>
      <c r="N3" s="16" t="s">
        <v>21</v>
      </c>
      <c r="O3" s="16" t="s">
        <v>22</v>
      </c>
      <c r="P3" s="50" t="s">
        <v>187</v>
      </c>
      <c r="R3" s="3" t="s">
        <v>23</v>
      </c>
    </row>
    <row r="4" spans="1:19" ht="20.25" thickTop="1" thickBot="1" x14ac:dyDescent="0.45">
      <c r="A4" s="22" t="s">
        <v>131</v>
      </c>
      <c r="B4" s="29">
        <v>8</v>
      </c>
      <c r="C4" s="23">
        <v>6</v>
      </c>
      <c r="D4" s="26">
        <v>0</v>
      </c>
      <c r="E4" s="29">
        <v>9</v>
      </c>
      <c r="F4" s="23">
        <v>7</v>
      </c>
      <c r="G4" s="29">
        <v>8</v>
      </c>
      <c r="H4" s="29">
        <v>9</v>
      </c>
      <c r="I4" s="23">
        <v>6</v>
      </c>
      <c r="J4" s="38">
        <f t="shared" ref="J4:J29" si="0">SUM(B4:I4)</f>
        <v>53</v>
      </c>
      <c r="K4" s="27">
        <v>97</v>
      </c>
      <c r="L4" s="21">
        <f>K4*$K$30</f>
        <v>0</v>
      </c>
      <c r="M4" s="20">
        <f ca="1">K4+RAND()*6</f>
        <v>102.99003744054494</v>
      </c>
      <c r="N4" s="20">
        <f ca="1">K4+M4</f>
        <v>199.99003744054494</v>
      </c>
      <c r="O4" s="49">
        <f ca="1">RANK(N4,$N$4:$N$29,0)</f>
        <v>1</v>
      </c>
      <c r="P4" s="51" t="str">
        <f ca="1">IF(RAND()&lt;0.08,"DNF","OK")</f>
        <v>OK</v>
      </c>
      <c r="R4" t="s">
        <v>26</v>
      </c>
    </row>
    <row r="5" spans="1:19" ht="20.25" thickTop="1" thickBot="1" x14ac:dyDescent="0.45">
      <c r="A5" s="22" t="s">
        <v>174</v>
      </c>
      <c r="B5" s="26">
        <v>6</v>
      </c>
      <c r="C5" s="29">
        <v>9</v>
      </c>
      <c r="D5" s="26">
        <v>0</v>
      </c>
      <c r="E5" s="26">
        <v>6</v>
      </c>
      <c r="F5" s="26">
        <v>4</v>
      </c>
      <c r="G5" s="26">
        <v>3</v>
      </c>
      <c r="H5" s="26" t="s">
        <v>188</v>
      </c>
      <c r="I5" s="29">
        <v>8</v>
      </c>
      <c r="J5" s="38">
        <f t="shared" si="0"/>
        <v>36</v>
      </c>
      <c r="K5" s="27">
        <v>96</v>
      </c>
      <c r="L5" s="21">
        <f t="shared" ref="L5:L29" si="1">K5*$K$30</f>
        <v>0</v>
      </c>
      <c r="M5" s="20">
        <f t="shared" ref="M5:M29" ca="1" si="2">K5+RAND()*6</f>
        <v>97.886766868237459</v>
      </c>
      <c r="N5" s="20">
        <f t="shared" ref="N5:N29" ca="1" si="3">K5+M5</f>
        <v>193.88676686823746</v>
      </c>
      <c r="O5" s="49">
        <f t="shared" ref="O5:O29" ca="1" si="4">RANK(N5,$N$4:$N$29,0)</f>
        <v>3</v>
      </c>
      <c r="P5" s="52" t="str">
        <f t="shared" ref="P5:P29" ca="1" si="5">IF(RAND()&lt;0.08,"DNF","OK")</f>
        <v>OK</v>
      </c>
      <c r="R5" t="s">
        <v>29</v>
      </c>
    </row>
    <row r="6" spans="1:19" ht="20.25" thickTop="1" thickBot="1" x14ac:dyDescent="0.45">
      <c r="A6" s="22" t="s">
        <v>195</v>
      </c>
      <c r="B6" s="26">
        <v>5</v>
      </c>
      <c r="C6" s="26" t="s">
        <v>188</v>
      </c>
      <c r="D6" s="26">
        <v>0</v>
      </c>
      <c r="E6" s="26" t="s">
        <v>188</v>
      </c>
      <c r="F6" s="29">
        <v>8</v>
      </c>
      <c r="G6" s="23">
        <v>5</v>
      </c>
      <c r="H6" s="26">
        <v>6</v>
      </c>
      <c r="I6" s="26">
        <v>4</v>
      </c>
      <c r="J6" s="38">
        <f t="shared" si="0"/>
        <v>28</v>
      </c>
      <c r="K6" s="27">
        <v>96</v>
      </c>
      <c r="L6" s="21">
        <f t="shared" si="1"/>
        <v>0</v>
      </c>
      <c r="M6" s="20">
        <f t="shared" ca="1" si="2"/>
        <v>97.266004016231335</v>
      </c>
      <c r="N6" s="20">
        <f t="shared" ca="1" si="3"/>
        <v>193.26600401623134</v>
      </c>
      <c r="O6" s="49">
        <f t="shared" ca="1" si="4"/>
        <v>6</v>
      </c>
      <c r="P6" s="53" t="str">
        <f t="shared" ca="1" si="5"/>
        <v>DNF</v>
      </c>
      <c r="R6" t="s">
        <v>32</v>
      </c>
    </row>
    <row r="7" spans="1:19" ht="20.25" thickTop="1" thickBot="1" x14ac:dyDescent="0.45">
      <c r="A7" s="22" t="s">
        <v>207</v>
      </c>
      <c r="B7" s="26">
        <v>2</v>
      </c>
      <c r="C7" s="26">
        <v>3</v>
      </c>
      <c r="D7" s="26">
        <v>0</v>
      </c>
      <c r="E7" s="26">
        <v>4</v>
      </c>
      <c r="F7" s="26">
        <v>3</v>
      </c>
      <c r="G7" s="26">
        <v>6</v>
      </c>
      <c r="H7" s="26">
        <v>2</v>
      </c>
      <c r="I7" s="40">
        <v>0</v>
      </c>
      <c r="J7" s="38">
        <f t="shared" si="0"/>
        <v>20</v>
      </c>
      <c r="K7" s="27">
        <v>95</v>
      </c>
      <c r="L7" s="21">
        <f t="shared" si="1"/>
        <v>0</v>
      </c>
      <c r="M7" s="20">
        <f t="shared" ca="1" si="2"/>
        <v>97.512790823756447</v>
      </c>
      <c r="N7" s="20">
        <f t="shared" ca="1" si="3"/>
        <v>192.51279082375646</v>
      </c>
      <c r="O7" s="49">
        <f t="shared" ca="1" si="4"/>
        <v>7</v>
      </c>
      <c r="P7" s="52" t="str">
        <f t="shared" ca="1" si="5"/>
        <v>OK</v>
      </c>
      <c r="R7" t="s">
        <v>35</v>
      </c>
    </row>
    <row r="8" spans="1:19" ht="20.25" thickTop="1" thickBot="1" x14ac:dyDescent="0.45">
      <c r="A8" s="22" t="s">
        <v>240</v>
      </c>
      <c r="B8" s="26">
        <v>3</v>
      </c>
      <c r="C8" s="26">
        <v>0</v>
      </c>
      <c r="D8" s="26">
        <v>0</v>
      </c>
      <c r="E8" s="26">
        <v>2</v>
      </c>
      <c r="F8" s="23">
        <v>0</v>
      </c>
      <c r="G8" s="26">
        <v>0</v>
      </c>
      <c r="H8" s="26">
        <v>4</v>
      </c>
      <c r="I8" s="26">
        <v>0</v>
      </c>
      <c r="J8" s="38">
        <f t="shared" si="0"/>
        <v>9</v>
      </c>
      <c r="K8" s="27">
        <v>95</v>
      </c>
      <c r="L8" s="21">
        <f t="shared" si="1"/>
        <v>0</v>
      </c>
      <c r="M8" s="20">
        <f t="shared" ca="1" si="2"/>
        <v>100.70338011648575</v>
      </c>
      <c r="N8" s="20">
        <f t="shared" ca="1" si="3"/>
        <v>195.70338011648573</v>
      </c>
      <c r="O8" s="49">
        <f t="shared" ca="1" si="4"/>
        <v>2</v>
      </c>
      <c r="P8" s="53" t="str">
        <f t="shared" ca="1" si="5"/>
        <v>OK</v>
      </c>
      <c r="R8" t="s">
        <v>38</v>
      </c>
    </row>
    <row r="9" spans="1:19" ht="20.25" thickTop="1" thickBot="1" x14ac:dyDescent="0.45">
      <c r="A9" s="22" t="s">
        <v>178</v>
      </c>
      <c r="B9" s="26" t="s">
        <v>188</v>
      </c>
      <c r="C9" s="26">
        <v>0</v>
      </c>
      <c r="D9" s="29">
        <v>8</v>
      </c>
      <c r="E9" s="26">
        <v>0</v>
      </c>
      <c r="F9" s="26">
        <v>0</v>
      </c>
      <c r="G9" s="26">
        <v>0</v>
      </c>
      <c r="H9" s="26">
        <v>0</v>
      </c>
      <c r="I9" s="40">
        <v>0</v>
      </c>
      <c r="J9" s="38">
        <f t="shared" si="0"/>
        <v>8</v>
      </c>
      <c r="K9" s="8">
        <v>70</v>
      </c>
      <c r="L9" s="21">
        <f t="shared" si="1"/>
        <v>0</v>
      </c>
      <c r="M9" s="20">
        <f t="shared" ca="1" si="2"/>
        <v>73.507743514091757</v>
      </c>
      <c r="N9" s="20">
        <f t="shared" ca="1" si="3"/>
        <v>143.50774351409177</v>
      </c>
      <c r="O9" s="49">
        <f t="shared" ca="1" si="4"/>
        <v>23</v>
      </c>
      <c r="P9" s="52" t="str">
        <f t="shared" ca="1" si="5"/>
        <v>OK</v>
      </c>
    </row>
    <row r="10" spans="1:19" ht="20.25" thickTop="1" thickBot="1" x14ac:dyDescent="0.45">
      <c r="A10" s="22" t="s">
        <v>201</v>
      </c>
      <c r="B10" s="26">
        <v>0</v>
      </c>
      <c r="C10" s="23">
        <v>0</v>
      </c>
      <c r="D10" s="26">
        <v>0</v>
      </c>
      <c r="E10" s="26">
        <v>3</v>
      </c>
      <c r="F10" s="26">
        <v>0</v>
      </c>
      <c r="G10" s="26">
        <v>2</v>
      </c>
      <c r="H10" s="26">
        <v>0</v>
      </c>
      <c r="I10" s="26">
        <v>3</v>
      </c>
      <c r="J10" s="38">
        <f t="shared" si="0"/>
        <v>8</v>
      </c>
      <c r="K10" s="8">
        <v>95</v>
      </c>
      <c r="L10" s="21">
        <f t="shared" si="1"/>
        <v>0</v>
      </c>
      <c r="M10" s="20">
        <f t="shared" ca="1" si="2"/>
        <v>95.469649485950441</v>
      </c>
      <c r="N10" s="20">
        <f t="shared" ca="1" si="3"/>
        <v>190.46964948595044</v>
      </c>
      <c r="O10" s="49">
        <f t="shared" ca="1" si="4"/>
        <v>9</v>
      </c>
      <c r="P10" s="53" t="str">
        <f t="shared" ca="1" si="5"/>
        <v>OK</v>
      </c>
    </row>
    <row r="11" spans="1:19" ht="20.25" thickTop="1" thickBot="1" x14ac:dyDescent="0.45">
      <c r="A11" s="22" t="s">
        <v>176</v>
      </c>
      <c r="B11" s="26">
        <v>0</v>
      </c>
      <c r="C11" s="26">
        <v>0</v>
      </c>
      <c r="D11" s="26">
        <v>7</v>
      </c>
      <c r="E11" s="26">
        <v>0</v>
      </c>
      <c r="F11" s="26">
        <v>0</v>
      </c>
      <c r="G11" s="26">
        <v>0</v>
      </c>
      <c r="H11" s="26">
        <v>0</v>
      </c>
      <c r="I11" s="26" t="s">
        <v>188</v>
      </c>
      <c r="J11" s="38">
        <f t="shared" si="0"/>
        <v>7</v>
      </c>
      <c r="K11" s="27">
        <v>70</v>
      </c>
      <c r="L11" s="21">
        <f t="shared" si="1"/>
        <v>0</v>
      </c>
      <c r="M11" s="20">
        <f t="shared" ca="1" si="2"/>
        <v>70.015094338926133</v>
      </c>
      <c r="N11" s="20">
        <f t="shared" ca="1" si="3"/>
        <v>140.01509433892613</v>
      </c>
      <c r="O11" s="49">
        <f t="shared" ca="1" si="4"/>
        <v>26</v>
      </c>
      <c r="P11" s="52" t="str">
        <f t="shared" ca="1" si="5"/>
        <v>OK</v>
      </c>
      <c r="R11" s="3" t="s">
        <v>42</v>
      </c>
    </row>
    <row r="12" spans="1:19" ht="20.25" thickTop="1" thickBot="1" x14ac:dyDescent="0.45">
      <c r="A12" s="22" t="s">
        <v>219</v>
      </c>
      <c r="B12" s="26">
        <v>0</v>
      </c>
      <c r="C12" s="26">
        <v>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2</v>
      </c>
      <c r="J12" s="38">
        <f t="shared" si="0"/>
        <v>6</v>
      </c>
      <c r="K12" s="27">
        <v>94</v>
      </c>
      <c r="L12" s="21">
        <f t="shared" si="1"/>
        <v>0</v>
      </c>
      <c r="M12" s="20">
        <f t="shared" ca="1" si="2"/>
        <v>99.708090625447255</v>
      </c>
      <c r="N12" s="20">
        <f t="shared" ca="1" si="3"/>
        <v>193.70809062544726</v>
      </c>
      <c r="O12" s="49">
        <f t="shared" ca="1" si="4"/>
        <v>4</v>
      </c>
      <c r="P12" s="53" t="str">
        <f t="shared" ca="1" si="5"/>
        <v>OK</v>
      </c>
      <c r="R12">
        <v>1</v>
      </c>
      <c r="S12">
        <v>8</v>
      </c>
    </row>
    <row r="13" spans="1:19" ht="20.25" thickTop="1" thickBot="1" x14ac:dyDescent="0.45">
      <c r="A13" s="22" t="s">
        <v>243</v>
      </c>
      <c r="B13" s="23">
        <v>0</v>
      </c>
      <c r="C13" s="26">
        <v>0</v>
      </c>
      <c r="D13" s="26">
        <v>0</v>
      </c>
      <c r="E13" s="26">
        <v>0</v>
      </c>
      <c r="F13" s="26">
        <v>2</v>
      </c>
      <c r="G13" s="26">
        <v>0</v>
      </c>
      <c r="H13" s="26">
        <v>3</v>
      </c>
      <c r="I13" s="26">
        <v>0</v>
      </c>
      <c r="J13" s="38">
        <f t="shared" si="0"/>
        <v>5</v>
      </c>
      <c r="K13" s="8">
        <v>94</v>
      </c>
      <c r="L13" s="21">
        <f t="shared" si="1"/>
        <v>0</v>
      </c>
      <c r="M13" s="20">
        <f t="shared" ca="1" si="2"/>
        <v>99.466556915390626</v>
      </c>
      <c r="N13" s="20">
        <f t="shared" ca="1" si="3"/>
        <v>193.46655691539064</v>
      </c>
      <c r="O13" s="49">
        <f t="shared" ca="1" si="4"/>
        <v>5</v>
      </c>
      <c r="P13" s="52" t="str">
        <f t="shared" ca="1" si="5"/>
        <v>OK</v>
      </c>
      <c r="R13">
        <v>2</v>
      </c>
      <c r="S13">
        <v>6</v>
      </c>
    </row>
    <row r="14" spans="1:19" ht="20.25" thickTop="1" thickBot="1" x14ac:dyDescent="0.45">
      <c r="A14" s="22" t="s">
        <v>200</v>
      </c>
      <c r="B14" s="23">
        <v>0</v>
      </c>
      <c r="C14" s="26">
        <v>0</v>
      </c>
      <c r="D14" s="26">
        <v>4</v>
      </c>
      <c r="E14" s="26">
        <v>0</v>
      </c>
      <c r="F14" s="26">
        <v>0</v>
      </c>
      <c r="G14" s="26" t="s">
        <v>188</v>
      </c>
      <c r="H14" s="26">
        <v>0</v>
      </c>
      <c r="I14" s="26">
        <v>0</v>
      </c>
      <c r="J14" s="38">
        <f t="shared" si="0"/>
        <v>4</v>
      </c>
      <c r="K14" s="8">
        <v>70</v>
      </c>
      <c r="L14" s="21">
        <f t="shared" si="1"/>
        <v>0</v>
      </c>
      <c r="M14" s="20">
        <f t="shared" ca="1" si="2"/>
        <v>72.727468557209022</v>
      </c>
      <c r="N14" s="20">
        <f t="shared" ca="1" si="3"/>
        <v>142.72746855720902</v>
      </c>
      <c r="O14" s="49">
        <f t="shared" ca="1" si="4"/>
        <v>24</v>
      </c>
      <c r="P14" s="53" t="str">
        <f t="shared" ca="1" si="5"/>
        <v>DNF</v>
      </c>
      <c r="R14">
        <v>3</v>
      </c>
      <c r="S14">
        <v>4</v>
      </c>
    </row>
    <row r="15" spans="1:19" ht="20.25" thickTop="1" thickBot="1" x14ac:dyDescent="0.45">
      <c r="A15" s="22" t="s">
        <v>194</v>
      </c>
      <c r="B15" s="23">
        <v>0</v>
      </c>
      <c r="C15" s="26">
        <v>0</v>
      </c>
      <c r="D15" s="26">
        <v>3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38">
        <f t="shared" si="0"/>
        <v>3</v>
      </c>
      <c r="K15" s="8">
        <v>70</v>
      </c>
      <c r="L15" s="21">
        <f t="shared" si="1"/>
        <v>0</v>
      </c>
      <c r="M15" s="20">
        <f t="shared" ca="1" si="2"/>
        <v>74.915562998267944</v>
      </c>
      <c r="N15" s="20">
        <f t="shared" ca="1" si="3"/>
        <v>144.91556299826794</v>
      </c>
      <c r="O15" s="49">
        <f t="shared" ca="1" si="4"/>
        <v>22</v>
      </c>
      <c r="P15" s="52" t="str">
        <f t="shared" ca="1" si="5"/>
        <v>OK</v>
      </c>
      <c r="R15">
        <v>4</v>
      </c>
      <c r="S15">
        <v>3</v>
      </c>
    </row>
    <row r="16" spans="1:19" ht="20.25" thickTop="1" thickBot="1" x14ac:dyDescent="0.45">
      <c r="A16" s="22" t="s">
        <v>225</v>
      </c>
      <c r="B16" s="26">
        <v>0</v>
      </c>
      <c r="C16" s="26">
        <v>2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38">
        <f t="shared" si="0"/>
        <v>2</v>
      </c>
      <c r="K16" s="8">
        <v>93</v>
      </c>
      <c r="L16" s="21">
        <f t="shared" si="1"/>
        <v>0</v>
      </c>
      <c r="M16" s="20">
        <f t="shared" ca="1" si="2"/>
        <v>98.274262933022413</v>
      </c>
      <c r="N16" s="20">
        <f t="shared" ca="1" si="3"/>
        <v>191.27426293302241</v>
      </c>
      <c r="O16" s="49">
        <f t="shared" ca="1" si="4"/>
        <v>8</v>
      </c>
      <c r="P16" s="53" t="str">
        <f t="shared" ca="1" si="5"/>
        <v>OK</v>
      </c>
      <c r="R16">
        <v>5</v>
      </c>
      <c r="S16">
        <v>2</v>
      </c>
    </row>
    <row r="17" spans="1:19" ht="20.25" thickTop="1" thickBot="1" x14ac:dyDescent="0.45">
      <c r="A17" s="22" t="s">
        <v>166</v>
      </c>
      <c r="B17" s="23">
        <v>0</v>
      </c>
      <c r="C17" s="26">
        <v>0</v>
      </c>
      <c r="D17" s="26">
        <v>2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38">
        <f t="shared" si="0"/>
        <v>2</v>
      </c>
      <c r="K17" s="8">
        <v>70</v>
      </c>
      <c r="L17" s="21">
        <f t="shared" si="1"/>
        <v>0</v>
      </c>
      <c r="M17" s="20">
        <f t="shared" ca="1" si="2"/>
        <v>70.846209241002839</v>
      </c>
      <c r="N17" s="20">
        <f t="shared" ca="1" si="3"/>
        <v>140.84620924100284</v>
      </c>
      <c r="O17" s="49">
        <f t="shared" ca="1" si="4"/>
        <v>25</v>
      </c>
      <c r="P17" s="52" t="str">
        <f t="shared" ca="1" si="5"/>
        <v>OK</v>
      </c>
      <c r="R17">
        <v>6</v>
      </c>
      <c r="S17" s="56">
        <v>0</v>
      </c>
    </row>
    <row r="18" spans="1:19" ht="20.25" thickTop="1" thickBot="1" x14ac:dyDescent="0.45">
      <c r="A18" s="22" t="s">
        <v>241</v>
      </c>
      <c r="B18" s="26">
        <v>0</v>
      </c>
      <c r="C18" s="26">
        <v>0</v>
      </c>
      <c r="D18" s="23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38">
        <f t="shared" si="0"/>
        <v>0</v>
      </c>
      <c r="K18" s="8">
        <v>93</v>
      </c>
      <c r="L18" s="21">
        <f t="shared" si="1"/>
        <v>0</v>
      </c>
      <c r="M18" s="20">
        <f t="shared" ca="1" si="2"/>
        <v>94.703335740851628</v>
      </c>
      <c r="N18" s="20">
        <f t="shared" ca="1" si="3"/>
        <v>187.70333574085163</v>
      </c>
      <c r="O18" s="49">
        <f t="shared" ca="1" si="4"/>
        <v>12</v>
      </c>
      <c r="P18" s="53" t="str">
        <f t="shared" ca="1" si="5"/>
        <v>OK</v>
      </c>
      <c r="R18">
        <v>7</v>
      </c>
      <c r="S18">
        <v>0</v>
      </c>
    </row>
    <row r="19" spans="1:19" ht="20.25" thickTop="1" thickBot="1" x14ac:dyDescent="0.45">
      <c r="A19" s="22" t="s">
        <v>242</v>
      </c>
      <c r="B19" s="23">
        <v>0</v>
      </c>
      <c r="C19" s="26">
        <v>0</v>
      </c>
      <c r="D19" s="23">
        <v>0</v>
      </c>
      <c r="E19" s="26">
        <v>0</v>
      </c>
      <c r="F19" s="26">
        <v>0</v>
      </c>
      <c r="G19" s="26">
        <v>0</v>
      </c>
      <c r="H19" s="23">
        <v>0</v>
      </c>
      <c r="I19" s="23">
        <v>0</v>
      </c>
      <c r="J19" s="38">
        <f t="shared" si="0"/>
        <v>0</v>
      </c>
      <c r="K19" s="8">
        <v>92</v>
      </c>
      <c r="L19" s="21">
        <f t="shared" si="1"/>
        <v>0</v>
      </c>
      <c r="M19" s="20">
        <f t="shared" ca="1" si="2"/>
        <v>94.014311237480271</v>
      </c>
      <c r="N19" s="20">
        <f t="shared" ca="1" si="3"/>
        <v>186.01431123748029</v>
      </c>
      <c r="O19" s="49">
        <f t="shared" ca="1" si="4"/>
        <v>13</v>
      </c>
      <c r="P19" s="52" t="str">
        <f t="shared" ca="1" si="5"/>
        <v>OK</v>
      </c>
      <c r="R19">
        <v>8</v>
      </c>
      <c r="S19">
        <v>0</v>
      </c>
    </row>
    <row r="20" spans="1:19" ht="20.25" thickTop="1" thickBot="1" x14ac:dyDescent="0.45">
      <c r="A20" s="22" t="s">
        <v>183</v>
      </c>
      <c r="B20" s="23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38">
        <f t="shared" si="0"/>
        <v>0</v>
      </c>
      <c r="K20" s="8">
        <v>93</v>
      </c>
      <c r="L20" s="21">
        <f t="shared" si="1"/>
        <v>0</v>
      </c>
      <c r="M20" s="20">
        <f t="shared" ca="1" si="2"/>
        <v>96.195522327235025</v>
      </c>
      <c r="N20" s="20">
        <f t="shared" ca="1" si="3"/>
        <v>189.19552232723504</v>
      </c>
      <c r="O20" s="49">
        <f t="shared" ca="1" si="4"/>
        <v>11</v>
      </c>
      <c r="P20" s="53" t="str">
        <f t="shared" ca="1" si="5"/>
        <v>OK</v>
      </c>
      <c r="R20">
        <v>9</v>
      </c>
      <c r="S20">
        <v>0</v>
      </c>
    </row>
    <row r="21" spans="1:19" ht="20.25" thickTop="1" thickBot="1" x14ac:dyDescent="0.45">
      <c r="A21" s="22" t="s">
        <v>215</v>
      </c>
      <c r="B21" s="23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38">
        <f t="shared" si="0"/>
        <v>0</v>
      </c>
      <c r="K21" s="27">
        <v>92</v>
      </c>
      <c r="L21" s="21">
        <f t="shared" si="1"/>
        <v>0</v>
      </c>
      <c r="M21" s="20">
        <f t="shared" ca="1" si="2"/>
        <v>97.959257759460002</v>
      </c>
      <c r="N21" s="20">
        <f t="shared" ca="1" si="3"/>
        <v>189.95925775946</v>
      </c>
      <c r="O21" s="49">
        <f t="shared" ca="1" si="4"/>
        <v>10</v>
      </c>
      <c r="P21" s="52" t="str">
        <f t="shared" ca="1" si="5"/>
        <v>OK</v>
      </c>
      <c r="R21">
        <v>10</v>
      </c>
      <c r="S21">
        <v>0</v>
      </c>
    </row>
    <row r="22" spans="1:19" ht="20.25" thickTop="1" thickBot="1" x14ac:dyDescent="0.45">
      <c r="A22" s="22" t="s">
        <v>244</v>
      </c>
      <c r="B22" s="23">
        <v>0</v>
      </c>
      <c r="C22" s="26">
        <v>0</v>
      </c>
      <c r="D22" s="26">
        <v>0</v>
      </c>
      <c r="E22" s="26">
        <v>0</v>
      </c>
      <c r="F22" s="26">
        <v>0</v>
      </c>
      <c r="G22" s="26" t="s">
        <v>188</v>
      </c>
      <c r="H22" s="26">
        <v>0</v>
      </c>
      <c r="I22" s="26" t="s">
        <v>188</v>
      </c>
      <c r="J22" s="38">
        <f t="shared" si="0"/>
        <v>0</v>
      </c>
      <c r="K22" s="8">
        <v>89</v>
      </c>
      <c r="L22" s="21">
        <f t="shared" si="1"/>
        <v>0</v>
      </c>
      <c r="M22" s="20">
        <f t="shared" ca="1" si="2"/>
        <v>91.051698661452079</v>
      </c>
      <c r="N22" s="20">
        <f t="shared" ca="1" si="3"/>
        <v>180.05169866145206</v>
      </c>
      <c r="O22" s="49">
        <f t="shared" ca="1" si="4"/>
        <v>15</v>
      </c>
      <c r="P22" s="53" t="str">
        <f t="shared" ca="1" si="5"/>
        <v>OK</v>
      </c>
    </row>
    <row r="23" spans="1:19" ht="20.25" thickTop="1" thickBot="1" x14ac:dyDescent="0.45">
      <c r="A23" s="22" t="s">
        <v>245</v>
      </c>
      <c r="B23" s="23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38">
        <f t="shared" si="0"/>
        <v>0</v>
      </c>
      <c r="K23" s="8">
        <v>89</v>
      </c>
      <c r="L23" s="21">
        <f t="shared" si="1"/>
        <v>0</v>
      </c>
      <c r="M23" s="20">
        <f t="shared" ca="1" si="2"/>
        <v>92.140997106565365</v>
      </c>
      <c r="N23" s="20">
        <f t="shared" ca="1" si="3"/>
        <v>181.14099710656535</v>
      </c>
      <c r="O23" s="49">
        <f t="shared" ca="1" si="4"/>
        <v>14</v>
      </c>
      <c r="P23" s="52" t="str">
        <f t="shared" ca="1" si="5"/>
        <v>DNF</v>
      </c>
    </row>
    <row r="24" spans="1:19" ht="20.25" thickTop="1" thickBot="1" x14ac:dyDescent="0.45">
      <c r="A24" s="22" t="s">
        <v>226</v>
      </c>
      <c r="B24" s="23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38">
        <f t="shared" si="0"/>
        <v>0</v>
      </c>
      <c r="K24" s="8">
        <v>87</v>
      </c>
      <c r="L24" s="21">
        <f t="shared" si="1"/>
        <v>0</v>
      </c>
      <c r="M24" s="20">
        <f t="shared" ca="1" si="2"/>
        <v>90.737630269601524</v>
      </c>
      <c r="N24" s="20">
        <f t="shared" ca="1" si="3"/>
        <v>177.73763026960154</v>
      </c>
      <c r="O24" s="49">
        <f t="shared" ca="1" si="4"/>
        <v>16</v>
      </c>
      <c r="P24" s="52" t="str">
        <f t="shared" ca="1" si="5"/>
        <v>OK</v>
      </c>
    </row>
    <row r="25" spans="1:19" ht="20.25" thickTop="1" thickBot="1" x14ac:dyDescent="0.45">
      <c r="A25" s="22" t="s">
        <v>162</v>
      </c>
      <c r="B25" s="23">
        <v>0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38">
        <f t="shared" si="0"/>
        <v>0</v>
      </c>
      <c r="K25" s="27">
        <v>86</v>
      </c>
      <c r="L25" s="21">
        <f t="shared" si="1"/>
        <v>0</v>
      </c>
      <c r="M25" s="20">
        <f t="shared" ca="1" si="2"/>
        <v>90.052254608168596</v>
      </c>
      <c r="N25" s="20">
        <f t="shared" ca="1" si="3"/>
        <v>176.0522546081686</v>
      </c>
      <c r="O25" s="49">
        <f t="shared" ca="1" si="4"/>
        <v>17</v>
      </c>
      <c r="P25" s="52" t="str">
        <f t="shared" ca="1" si="5"/>
        <v>OK</v>
      </c>
    </row>
    <row r="26" spans="1:19" ht="20.25" thickTop="1" thickBot="1" x14ac:dyDescent="0.45">
      <c r="A26" s="22" t="s">
        <v>246</v>
      </c>
      <c r="B26" s="23">
        <v>0</v>
      </c>
      <c r="C26" s="26">
        <v>0</v>
      </c>
      <c r="D26" s="26">
        <v>0</v>
      </c>
      <c r="E26" s="26" t="s">
        <v>188</v>
      </c>
      <c r="F26" s="26">
        <v>0</v>
      </c>
      <c r="G26" s="26">
        <v>0</v>
      </c>
      <c r="H26" s="26">
        <v>0</v>
      </c>
      <c r="I26" s="26">
        <v>0</v>
      </c>
      <c r="J26" s="38">
        <f t="shared" si="0"/>
        <v>0</v>
      </c>
      <c r="K26" s="8">
        <v>84</v>
      </c>
      <c r="L26" s="21">
        <f t="shared" si="1"/>
        <v>0</v>
      </c>
      <c r="M26" s="20">
        <f t="shared" ca="1" si="2"/>
        <v>87.698866260962831</v>
      </c>
      <c r="N26" s="20">
        <f t="shared" ca="1" si="3"/>
        <v>171.69886626096283</v>
      </c>
      <c r="O26" s="49">
        <f t="shared" ca="1" si="4"/>
        <v>19</v>
      </c>
      <c r="P26" s="52" t="str">
        <f t="shared" ca="1" si="5"/>
        <v>OK</v>
      </c>
    </row>
    <row r="27" spans="1:19" ht="20.25" thickTop="1" thickBot="1" x14ac:dyDescent="0.45">
      <c r="A27" s="22" t="s">
        <v>214</v>
      </c>
      <c r="B27" s="23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38">
        <f t="shared" si="0"/>
        <v>0</v>
      </c>
      <c r="K27" s="8">
        <v>84</v>
      </c>
      <c r="L27" s="21">
        <f t="shared" si="1"/>
        <v>0</v>
      </c>
      <c r="M27" s="20">
        <f t="shared" ca="1" si="2"/>
        <v>85.007653226995515</v>
      </c>
      <c r="N27" s="20">
        <f t="shared" ca="1" si="3"/>
        <v>169.0076532269955</v>
      </c>
      <c r="O27" s="49">
        <f t="shared" ca="1" si="4"/>
        <v>21</v>
      </c>
      <c r="P27" s="52" t="str">
        <f t="shared" ca="1" si="5"/>
        <v>OK</v>
      </c>
    </row>
    <row r="28" spans="1:19" ht="20.25" thickTop="1" thickBot="1" x14ac:dyDescent="0.45">
      <c r="A28" s="22" t="s">
        <v>247</v>
      </c>
      <c r="B28" s="23">
        <v>0</v>
      </c>
      <c r="C28" s="26">
        <v>0</v>
      </c>
      <c r="D28" s="26">
        <v>0</v>
      </c>
      <c r="E28" s="26" t="s">
        <v>188</v>
      </c>
      <c r="F28" s="26">
        <v>0</v>
      </c>
      <c r="G28" s="26">
        <v>0</v>
      </c>
      <c r="H28" s="26">
        <v>0</v>
      </c>
      <c r="I28" s="26">
        <v>0</v>
      </c>
      <c r="J28" s="38">
        <f t="shared" si="0"/>
        <v>0</v>
      </c>
      <c r="K28" s="8">
        <v>85</v>
      </c>
      <c r="L28" s="21">
        <f t="shared" si="1"/>
        <v>0</v>
      </c>
      <c r="M28" s="20">
        <f t="shared" ca="1" si="2"/>
        <v>89.700072221005144</v>
      </c>
      <c r="N28" s="20">
        <f t="shared" ca="1" si="3"/>
        <v>174.70007222100514</v>
      </c>
      <c r="O28" s="49">
        <f t="shared" ca="1" si="4"/>
        <v>18</v>
      </c>
      <c r="P28" s="52" t="str">
        <f t="shared" ca="1" si="5"/>
        <v>OK</v>
      </c>
    </row>
    <row r="29" spans="1:19" ht="19.5" thickTop="1" x14ac:dyDescent="0.4">
      <c r="A29" s="22" t="s">
        <v>248</v>
      </c>
      <c r="B29" s="26">
        <v>0</v>
      </c>
      <c r="C29" s="26">
        <v>0</v>
      </c>
      <c r="D29" s="26">
        <v>0</v>
      </c>
      <c r="E29" s="26" t="s">
        <v>188</v>
      </c>
      <c r="F29" s="26" t="s">
        <v>188</v>
      </c>
      <c r="G29" s="26">
        <v>0</v>
      </c>
      <c r="H29" s="26">
        <v>0</v>
      </c>
      <c r="I29" s="26">
        <v>0</v>
      </c>
      <c r="J29" s="38">
        <f t="shared" si="0"/>
        <v>0</v>
      </c>
      <c r="K29" s="8">
        <v>84</v>
      </c>
      <c r="L29" s="21">
        <f t="shared" si="1"/>
        <v>0</v>
      </c>
      <c r="M29" s="20">
        <f t="shared" ca="1" si="2"/>
        <v>85.679670926341927</v>
      </c>
      <c r="N29" s="20">
        <f t="shared" ca="1" si="3"/>
        <v>169.67967092634194</v>
      </c>
      <c r="O29" s="49">
        <f t="shared" ca="1" si="4"/>
        <v>20</v>
      </c>
      <c r="P29" s="52" t="str">
        <f t="shared" ca="1" si="5"/>
        <v>OK</v>
      </c>
    </row>
  </sheetData>
  <sortState xmlns:xlrd2="http://schemas.microsoft.com/office/spreadsheetml/2017/richdata2" ref="A4:K29">
    <sortCondition descending="1" ref="J4:J29"/>
  </sortState>
  <conditionalFormatting sqref="B4:I29">
    <cfRule type="containsText" dxfId="53" priority="1" operator="containsText" text="DNF">
      <formula>NOT(ISERROR(SEARCH("DNF",B4)))</formula>
    </cfRule>
  </conditionalFormatting>
  <conditionalFormatting sqref="O3:O29">
    <cfRule type="cellIs" dxfId="52" priority="7" operator="lessThan">
      <formula>6</formula>
    </cfRule>
  </conditionalFormatting>
  <conditionalFormatting sqref="O4:O29">
    <cfRule type="cellIs" dxfId="51" priority="9" operator="equal">
      <formula>1</formula>
    </cfRule>
  </conditionalFormatting>
  <conditionalFormatting sqref="P4:P29">
    <cfRule type="containsText" dxfId="50" priority="8" operator="containsText" text="DNF">
      <formula>NOT(ISERROR(SEARCH("DNF",P4)))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0"/>
  <dimension ref="A1:X39"/>
  <sheetViews>
    <sheetView zoomScale="80" zoomScaleNormal="80" workbookViewId="0">
      <pane ySplit="3" topLeftCell="A5" activePane="bottomLeft" state="frozen"/>
      <selection pane="bottomLeft" activeCell="B31" sqref="B31"/>
    </sheetView>
  </sheetViews>
  <sheetFormatPr defaultRowHeight="15" x14ac:dyDescent="0.25"/>
  <cols>
    <col min="1" max="21" width="16" customWidth="1"/>
  </cols>
  <sheetData>
    <row r="1" spans="1:24" ht="21" x14ac:dyDescent="0.35">
      <c r="A1" s="1" t="s">
        <v>62</v>
      </c>
    </row>
    <row r="3" spans="1:24" ht="15.75" thickBot="1" x14ac:dyDescent="0.3">
      <c r="A3" s="7" t="s">
        <v>6</v>
      </c>
      <c r="B3" s="16" t="s">
        <v>7</v>
      </c>
      <c r="C3" s="16" t="s">
        <v>196</v>
      </c>
      <c r="D3" s="16" t="s">
        <v>140</v>
      </c>
      <c r="E3" s="16" t="s">
        <v>197</v>
      </c>
      <c r="F3" s="16" t="s">
        <v>141</v>
      </c>
      <c r="G3" s="16" t="s">
        <v>143</v>
      </c>
      <c r="H3" s="16" t="s">
        <v>144</v>
      </c>
      <c r="I3" s="16" t="s">
        <v>139</v>
      </c>
      <c r="J3" s="16" t="s">
        <v>160</v>
      </c>
      <c r="K3" s="16" t="s">
        <v>250</v>
      </c>
      <c r="L3" s="16" t="s">
        <v>145</v>
      </c>
      <c r="M3" s="16" t="s">
        <v>251</v>
      </c>
      <c r="N3" s="16" t="s">
        <v>18</v>
      </c>
      <c r="O3" s="17" t="s">
        <v>19</v>
      </c>
      <c r="P3" s="17" t="s">
        <v>158</v>
      </c>
      <c r="Q3" s="16" t="s">
        <v>20</v>
      </c>
      <c r="R3" s="16" t="s">
        <v>21</v>
      </c>
      <c r="S3" s="16" t="s">
        <v>22</v>
      </c>
      <c r="T3" s="50" t="s">
        <v>187</v>
      </c>
    </row>
    <row r="4" spans="1:24" ht="20.25" thickTop="1" thickBot="1" x14ac:dyDescent="0.45">
      <c r="A4" s="22" t="s">
        <v>174</v>
      </c>
      <c r="B4" s="59" t="s">
        <v>261</v>
      </c>
      <c r="C4" s="26">
        <v>7</v>
      </c>
      <c r="D4" s="29">
        <v>9</v>
      </c>
      <c r="E4" s="29">
        <v>8</v>
      </c>
      <c r="F4" s="26" t="s">
        <v>157</v>
      </c>
      <c r="G4" s="29">
        <v>9</v>
      </c>
      <c r="H4" s="26">
        <v>6</v>
      </c>
      <c r="I4" s="26">
        <v>6</v>
      </c>
      <c r="J4" s="26" t="s">
        <v>188</v>
      </c>
      <c r="K4" s="29">
        <v>9</v>
      </c>
      <c r="L4" s="26">
        <v>6</v>
      </c>
      <c r="M4" s="29">
        <v>8</v>
      </c>
      <c r="N4" s="38">
        <f t="shared" ref="N4:N24" si="0">SUM(C4:M4)</f>
        <v>68</v>
      </c>
      <c r="O4" s="27">
        <v>97</v>
      </c>
      <c r="P4" s="21">
        <f>O4*$O$25</f>
        <v>175570</v>
      </c>
      <c r="Q4" s="20">
        <f ca="1">O4+RAND()*6</f>
        <v>98.875948295387133</v>
      </c>
      <c r="R4" s="20">
        <f ca="1">O4+Q4</f>
        <v>195.87594829538713</v>
      </c>
      <c r="S4" s="49">
        <f ca="1">RANK(R4,$R$4:$R$24,0)</f>
        <v>1</v>
      </c>
      <c r="T4" s="51" t="str">
        <f ca="1">IF(RAND()&lt;0.08,"DNF","OK")</f>
        <v>OK</v>
      </c>
    </row>
    <row r="5" spans="1:24" ht="20.25" thickTop="1" thickBot="1" x14ac:dyDescent="0.45">
      <c r="A5" s="22" t="s">
        <v>195</v>
      </c>
      <c r="B5" s="59" t="s">
        <v>260</v>
      </c>
      <c r="C5" s="29">
        <v>8</v>
      </c>
      <c r="D5" s="26">
        <v>6</v>
      </c>
      <c r="E5" s="26">
        <v>5</v>
      </c>
      <c r="F5" s="26" t="s">
        <v>157</v>
      </c>
      <c r="G5" s="26">
        <v>4</v>
      </c>
      <c r="H5" s="29">
        <v>9</v>
      </c>
      <c r="I5" s="29">
        <v>9</v>
      </c>
      <c r="J5" s="26">
        <v>6</v>
      </c>
      <c r="K5" s="26">
        <v>6</v>
      </c>
      <c r="L5" s="26">
        <v>5</v>
      </c>
      <c r="M5" s="26">
        <v>5</v>
      </c>
      <c r="N5" s="38">
        <f t="shared" si="0"/>
        <v>63</v>
      </c>
      <c r="O5" s="27">
        <v>97</v>
      </c>
      <c r="P5" s="21">
        <f t="shared" ref="P5:P24" si="1">O5*$O$25</f>
        <v>175570</v>
      </c>
      <c r="Q5" s="20">
        <f t="shared" ref="Q5:Q24" ca="1" si="2">O5+RAND()*6</f>
        <v>97.737430418479789</v>
      </c>
      <c r="R5" s="20">
        <f t="shared" ref="R5:R24" ca="1" si="3">O5+Q5</f>
        <v>194.73743041847979</v>
      </c>
      <c r="S5" s="49">
        <f t="shared" ref="S5:S24" ca="1" si="4">RANK(R5,$R$4:$R$24,0)</f>
        <v>2</v>
      </c>
      <c r="T5" s="52" t="str">
        <f t="shared" ref="T5:T24" ca="1" si="5">IF(RAND()&lt;0.08,"DNF","OK")</f>
        <v>OK</v>
      </c>
    </row>
    <row r="6" spans="1:24" ht="20.25" thickTop="1" thickBot="1" x14ac:dyDescent="0.45">
      <c r="A6" s="22" t="s">
        <v>244</v>
      </c>
      <c r="B6" s="59" t="s">
        <v>266</v>
      </c>
      <c r="C6" s="26" t="s">
        <v>157</v>
      </c>
      <c r="D6" s="26">
        <v>3</v>
      </c>
      <c r="E6" s="26">
        <v>6</v>
      </c>
      <c r="F6" s="26" t="s">
        <v>157</v>
      </c>
      <c r="G6" s="26">
        <v>3</v>
      </c>
      <c r="H6" s="26" t="s">
        <v>188</v>
      </c>
      <c r="I6" s="26">
        <v>3</v>
      </c>
      <c r="J6" s="26">
        <v>4</v>
      </c>
      <c r="K6" s="26">
        <v>3</v>
      </c>
      <c r="L6" s="26">
        <v>2</v>
      </c>
      <c r="M6" s="26">
        <v>6</v>
      </c>
      <c r="N6" s="38">
        <f t="shared" si="0"/>
        <v>30</v>
      </c>
      <c r="O6" s="27">
        <v>95</v>
      </c>
      <c r="P6" s="21">
        <f t="shared" si="1"/>
        <v>171950</v>
      </c>
      <c r="Q6" s="20">
        <f t="shared" ca="1" si="2"/>
        <v>96.235697842212971</v>
      </c>
      <c r="R6" s="20">
        <f t="shared" ca="1" si="3"/>
        <v>191.23569784221297</v>
      </c>
      <c r="S6" s="49">
        <f t="shared" ca="1" si="4"/>
        <v>5</v>
      </c>
      <c r="T6" s="53" t="str">
        <f t="shared" ca="1" si="5"/>
        <v>OK</v>
      </c>
    </row>
    <row r="7" spans="1:24" ht="20.25" thickTop="1" thickBot="1" x14ac:dyDescent="0.45">
      <c r="A7" s="22" t="s">
        <v>240</v>
      </c>
      <c r="B7" s="59" t="s">
        <v>260</v>
      </c>
      <c r="C7" s="26" t="s">
        <v>157</v>
      </c>
      <c r="D7" s="26">
        <v>2</v>
      </c>
      <c r="E7" s="26">
        <v>0</v>
      </c>
      <c r="F7" s="26" t="s">
        <v>157</v>
      </c>
      <c r="G7" s="26">
        <v>0</v>
      </c>
      <c r="H7" s="26">
        <v>4</v>
      </c>
      <c r="I7" s="26">
        <v>4</v>
      </c>
      <c r="J7" s="29">
        <v>9</v>
      </c>
      <c r="K7" s="26" t="s">
        <v>188</v>
      </c>
      <c r="L7" s="29">
        <v>8</v>
      </c>
      <c r="M7" s="26">
        <v>3</v>
      </c>
      <c r="N7" s="38">
        <f t="shared" si="0"/>
        <v>30</v>
      </c>
      <c r="O7" s="8">
        <v>96</v>
      </c>
      <c r="P7" s="21">
        <f t="shared" si="1"/>
        <v>173760</v>
      </c>
      <c r="Q7" s="20">
        <f t="shared" ca="1" si="2"/>
        <v>96.752024809080496</v>
      </c>
      <c r="R7" s="20">
        <f t="shared" ca="1" si="3"/>
        <v>192.7520248090805</v>
      </c>
      <c r="S7" s="49">
        <f t="shared" ca="1" si="4"/>
        <v>4</v>
      </c>
      <c r="T7" s="52" t="str">
        <f t="shared" ca="1" si="5"/>
        <v>DNF</v>
      </c>
    </row>
    <row r="8" spans="1:24" ht="20.25" thickTop="1" thickBot="1" x14ac:dyDescent="0.45">
      <c r="A8" s="22" t="s">
        <v>219</v>
      </c>
      <c r="B8" s="59" t="s">
        <v>261</v>
      </c>
      <c r="C8" s="26">
        <v>4</v>
      </c>
      <c r="D8" s="26">
        <v>4</v>
      </c>
      <c r="E8" s="26">
        <v>0</v>
      </c>
      <c r="F8" s="26" t="s">
        <v>157</v>
      </c>
      <c r="G8" s="26">
        <v>6</v>
      </c>
      <c r="H8" s="26">
        <v>2</v>
      </c>
      <c r="I8" s="26">
        <v>0</v>
      </c>
      <c r="J8" s="26">
        <v>2</v>
      </c>
      <c r="K8" s="26" t="s">
        <v>157</v>
      </c>
      <c r="L8" s="26" t="s">
        <v>157</v>
      </c>
      <c r="M8" s="26" t="s">
        <v>157</v>
      </c>
      <c r="N8" s="38">
        <f t="shared" si="0"/>
        <v>18</v>
      </c>
      <c r="O8" s="8">
        <v>95</v>
      </c>
      <c r="P8" s="21">
        <f t="shared" si="1"/>
        <v>171950</v>
      </c>
      <c r="Q8" s="20">
        <f t="shared" ca="1" si="2"/>
        <v>97.94504398683469</v>
      </c>
      <c r="R8" s="20">
        <f t="shared" ca="1" si="3"/>
        <v>192.94504398683469</v>
      </c>
      <c r="S8" s="49">
        <f t="shared" ca="1" si="4"/>
        <v>3</v>
      </c>
      <c r="T8" s="53" t="str">
        <f t="shared" ca="1" si="5"/>
        <v>OK</v>
      </c>
    </row>
    <row r="9" spans="1:24" ht="20.25" thickTop="1" thickBot="1" x14ac:dyDescent="0.45">
      <c r="A9" s="22" t="s">
        <v>183</v>
      </c>
      <c r="B9" s="59" t="s">
        <v>266</v>
      </c>
      <c r="C9" s="26" t="s">
        <v>157</v>
      </c>
      <c r="D9" s="26" t="s">
        <v>188</v>
      </c>
      <c r="E9" s="26">
        <v>0</v>
      </c>
      <c r="F9" s="26" t="s">
        <v>157</v>
      </c>
      <c r="G9" s="26">
        <v>2</v>
      </c>
      <c r="H9" s="26">
        <v>0</v>
      </c>
      <c r="I9" s="26">
        <v>2</v>
      </c>
      <c r="J9" s="26">
        <v>3</v>
      </c>
      <c r="K9" s="26">
        <v>4</v>
      </c>
      <c r="L9" s="26">
        <v>3</v>
      </c>
      <c r="M9" s="26">
        <v>0</v>
      </c>
      <c r="N9" s="38">
        <f t="shared" si="0"/>
        <v>14</v>
      </c>
      <c r="O9" s="8">
        <v>94</v>
      </c>
      <c r="P9" s="21">
        <f t="shared" si="1"/>
        <v>170140</v>
      </c>
      <c r="Q9" s="20">
        <f t="shared" ca="1" si="2"/>
        <v>95.881503494180095</v>
      </c>
      <c r="R9" s="20">
        <f t="shared" ca="1" si="3"/>
        <v>189.88150349418009</v>
      </c>
      <c r="S9" s="49">
        <f t="shared" ca="1" si="4"/>
        <v>6</v>
      </c>
      <c r="T9" s="52" t="str">
        <f t="shared" ca="1" si="5"/>
        <v>OK</v>
      </c>
    </row>
    <row r="10" spans="1:24" ht="20.25" thickTop="1" thickBot="1" x14ac:dyDescent="0.45">
      <c r="A10" s="22" t="s">
        <v>207</v>
      </c>
      <c r="B10" s="59" t="s">
        <v>262</v>
      </c>
      <c r="C10" s="26">
        <v>0</v>
      </c>
      <c r="D10" s="26">
        <v>0</v>
      </c>
      <c r="E10" s="26">
        <v>2</v>
      </c>
      <c r="F10" s="26" t="s">
        <v>157</v>
      </c>
      <c r="G10" s="26">
        <v>0</v>
      </c>
      <c r="H10" s="26">
        <v>3</v>
      </c>
      <c r="I10" s="26">
        <v>0</v>
      </c>
      <c r="J10" s="26">
        <v>0</v>
      </c>
      <c r="K10" s="26">
        <v>2</v>
      </c>
      <c r="L10" s="26">
        <v>0</v>
      </c>
      <c r="M10" s="26">
        <v>2</v>
      </c>
      <c r="N10" s="38">
        <f t="shared" si="0"/>
        <v>9</v>
      </c>
      <c r="O10" s="8">
        <v>93</v>
      </c>
      <c r="P10" s="21">
        <f t="shared" si="1"/>
        <v>168330</v>
      </c>
      <c r="Q10" s="20">
        <f t="shared" ca="1" si="2"/>
        <v>96.063833351150805</v>
      </c>
      <c r="R10" s="20">
        <f t="shared" ca="1" si="3"/>
        <v>189.06383335115081</v>
      </c>
      <c r="S10" s="49">
        <f t="shared" ca="1" si="4"/>
        <v>7</v>
      </c>
      <c r="T10" s="53" t="str">
        <f t="shared" ca="1" si="5"/>
        <v>OK</v>
      </c>
    </row>
    <row r="11" spans="1:24" ht="20.25" thickTop="1" thickBot="1" x14ac:dyDescent="0.45">
      <c r="A11" s="22" t="s">
        <v>200</v>
      </c>
      <c r="B11" s="59"/>
      <c r="C11" s="26" t="s">
        <v>157</v>
      </c>
      <c r="D11" s="26" t="s">
        <v>157</v>
      </c>
      <c r="E11" s="26" t="s">
        <v>157</v>
      </c>
      <c r="F11" s="29">
        <v>8</v>
      </c>
      <c r="G11" s="26" t="s">
        <v>157</v>
      </c>
      <c r="H11" s="26" t="s">
        <v>157</v>
      </c>
      <c r="I11" s="26" t="s">
        <v>157</v>
      </c>
      <c r="J11" s="26" t="s">
        <v>157</v>
      </c>
      <c r="K11" s="26" t="s">
        <v>157</v>
      </c>
      <c r="L11" s="26" t="s">
        <v>157</v>
      </c>
      <c r="M11" s="26" t="s">
        <v>157</v>
      </c>
      <c r="N11" s="38">
        <f t="shared" si="0"/>
        <v>8</v>
      </c>
      <c r="O11" s="8">
        <v>70</v>
      </c>
      <c r="P11" s="21">
        <f t="shared" si="1"/>
        <v>126700</v>
      </c>
      <c r="Q11" s="20">
        <f t="shared" ca="1" si="2"/>
        <v>75.956459108045621</v>
      </c>
      <c r="R11" s="20">
        <f t="shared" ca="1" si="3"/>
        <v>145.95645910804564</v>
      </c>
      <c r="S11" s="49">
        <f t="shared" ca="1" si="4"/>
        <v>18</v>
      </c>
      <c r="T11" s="52" t="str">
        <f t="shared" ca="1" si="5"/>
        <v>OK</v>
      </c>
    </row>
    <row r="12" spans="1:24" ht="20.25" thickTop="1" thickBot="1" x14ac:dyDescent="0.45">
      <c r="A12" s="22" t="s">
        <v>201</v>
      </c>
      <c r="B12" s="59" t="s">
        <v>261</v>
      </c>
      <c r="C12" s="26">
        <v>3</v>
      </c>
      <c r="D12" s="26">
        <v>0</v>
      </c>
      <c r="E12" s="26">
        <v>3</v>
      </c>
      <c r="F12" s="26" t="s">
        <v>157</v>
      </c>
      <c r="G12" s="26" t="s">
        <v>188</v>
      </c>
      <c r="H12" s="26">
        <v>0</v>
      </c>
      <c r="I12" s="26" t="s">
        <v>157</v>
      </c>
      <c r="J12" s="26" t="s">
        <v>157</v>
      </c>
      <c r="K12" s="26" t="s">
        <v>157</v>
      </c>
      <c r="L12" s="26" t="s">
        <v>157</v>
      </c>
      <c r="M12" s="26" t="s">
        <v>157</v>
      </c>
      <c r="N12" s="38">
        <f t="shared" si="0"/>
        <v>6</v>
      </c>
      <c r="O12" s="27">
        <v>94</v>
      </c>
      <c r="P12" s="21">
        <f t="shared" si="1"/>
        <v>170140</v>
      </c>
      <c r="Q12" s="20">
        <f t="shared" ca="1" si="2"/>
        <v>94.255480356324554</v>
      </c>
      <c r="R12" s="20">
        <f t="shared" ca="1" si="3"/>
        <v>188.25548035632454</v>
      </c>
      <c r="S12" s="49">
        <f t="shared" ca="1" si="4"/>
        <v>8</v>
      </c>
      <c r="T12" s="53" t="str">
        <f t="shared" ca="1" si="5"/>
        <v>OK</v>
      </c>
    </row>
    <row r="13" spans="1:24" ht="20.25" thickTop="1" thickBot="1" x14ac:dyDescent="0.45">
      <c r="A13" s="22" t="s">
        <v>254</v>
      </c>
      <c r="B13" s="59"/>
      <c r="C13" s="26" t="s">
        <v>157</v>
      </c>
      <c r="D13" s="26" t="s">
        <v>157</v>
      </c>
      <c r="E13" s="26" t="s">
        <v>157</v>
      </c>
      <c r="F13" s="26">
        <v>6</v>
      </c>
      <c r="G13" s="26" t="s">
        <v>157</v>
      </c>
      <c r="H13" s="26" t="s">
        <v>157</v>
      </c>
      <c r="I13" s="26" t="s">
        <v>157</v>
      </c>
      <c r="J13" s="26" t="s">
        <v>157</v>
      </c>
      <c r="K13" s="26" t="s">
        <v>157</v>
      </c>
      <c r="L13" s="26" t="s">
        <v>157</v>
      </c>
      <c r="M13" s="26" t="s">
        <v>157</v>
      </c>
      <c r="N13" s="38">
        <f t="shared" si="0"/>
        <v>6</v>
      </c>
      <c r="O13" s="27">
        <v>70</v>
      </c>
      <c r="P13" s="21">
        <f t="shared" si="1"/>
        <v>126700</v>
      </c>
      <c r="Q13" s="20">
        <f t="shared" ca="1" si="2"/>
        <v>75.45751176426694</v>
      </c>
      <c r="R13" s="20">
        <f t="shared" ca="1" si="3"/>
        <v>145.45751176426694</v>
      </c>
      <c r="S13" s="49">
        <f t="shared" ca="1" si="4"/>
        <v>19</v>
      </c>
      <c r="T13" s="52" t="str">
        <f t="shared" ca="1" si="5"/>
        <v>OK</v>
      </c>
      <c r="W13">
        <v>1</v>
      </c>
      <c r="X13">
        <v>8</v>
      </c>
    </row>
    <row r="14" spans="1:24" ht="20.25" thickTop="1" thickBot="1" x14ac:dyDescent="0.45">
      <c r="A14" s="22" t="s">
        <v>255</v>
      </c>
      <c r="B14" s="59"/>
      <c r="C14" s="26" t="s">
        <v>157</v>
      </c>
      <c r="D14" s="26" t="s">
        <v>157</v>
      </c>
      <c r="E14" s="26" t="s">
        <v>157</v>
      </c>
      <c r="F14" s="26">
        <v>4</v>
      </c>
      <c r="G14" s="26" t="s">
        <v>157</v>
      </c>
      <c r="H14" s="26" t="s">
        <v>157</v>
      </c>
      <c r="I14" s="26" t="s">
        <v>157</v>
      </c>
      <c r="J14" s="26" t="s">
        <v>157</v>
      </c>
      <c r="K14" s="26" t="s">
        <v>157</v>
      </c>
      <c r="L14" s="26" t="s">
        <v>157</v>
      </c>
      <c r="M14" s="26" t="s">
        <v>157</v>
      </c>
      <c r="N14" s="38">
        <f t="shared" si="0"/>
        <v>4</v>
      </c>
      <c r="O14" s="8">
        <v>70</v>
      </c>
      <c r="P14" s="21">
        <f t="shared" si="1"/>
        <v>126700</v>
      </c>
      <c r="Q14" s="20">
        <f t="shared" ca="1" si="2"/>
        <v>73.27548090313158</v>
      </c>
      <c r="R14" s="20">
        <f t="shared" ca="1" si="3"/>
        <v>143.27548090313158</v>
      </c>
      <c r="S14" s="49">
        <f t="shared" ca="1" si="4"/>
        <v>20</v>
      </c>
      <c r="T14" s="53" t="str">
        <f t="shared" ca="1" si="5"/>
        <v>OK</v>
      </c>
      <c r="W14">
        <v>2</v>
      </c>
      <c r="X14">
        <v>6</v>
      </c>
    </row>
    <row r="15" spans="1:24" ht="20.25" thickTop="1" thickBot="1" x14ac:dyDescent="0.45">
      <c r="A15" s="22" t="s">
        <v>212</v>
      </c>
      <c r="B15" s="59"/>
      <c r="C15" s="26" t="s">
        <v>157</v>
      </c>
      <c r="D15" s="26" t="s">
        <v>157</v>
      </c>
      <c r="E15" s="26" t="s">
        <v>157</v>
      </c>
      <c r="F15" s="26">
        <v>4</v>
      </c>
      <c r="G15" s="26" t="s">
        <v>157</v>
      </c>
      <c r="H15" s="26" t="s">
        <v>157</v>
      </c>
      <c r="I15" s="26" t="s">
        <v>157</v>
      </c>
      <c r="J15" s="26" t="s">
        <v>157</v>
      </c>
      <c r="K15" s="26" t="s">
        <v>157</v>
      </c>
      <c r="L15" s="26" t="s">
        <v>157</v>
      </c>
      <c r="M15" s="26" t="s">
        <v>157</v>
      </c>
      <c r="N15" s="38">
        <f t="shared" si="0"/>
        <v>4</v>
      </c>
      <c r="O15" s="8">
        <v>70</v>
      </c>
      <c r="P15" s="21">
        <f t="shared" si="1"/>
        <v>126700</v>
      </c>
      <c r="Q15" s="20">
        <f t="shared" ca="1" si="2"/>
        <v>70.902809481231628</v>
      </c>
      <c r="R15" s="20">
        <f t="shared" ca="1" si="3"/>
        <v>140.90280948123163</v>
      </c>
      <c r="S15" s="49">
        <f t="shared" ca="1" si="4"/>
        <v>21</v>
      </c>
      <c r="T15" s="52" t="str">
        <f t="shared" ca="1" si="5"/>
        <v>OK</v>
      </c>
      <c r="W15">
        <v>3</v>
      </c>
      <c r="X15">
        <v>4</v>
      </c>
    </row>
    <row r="16" spans="1:24" ht="20.25" thickTop="1" thickBot="1" x14ac:dyDescent="0.45">
      <c r="A16" s="22" t="s">
        <v>225</v>
      </c>
      <c r="B16" s="59" t="s">
        <v>262</v>
      </c>
      <c r="C16" s="26">
        <v>2</v>
      </c>
      <c r="D16" s="26">
        <v>0</v>
      </c>
      <c r="E16" s="26">
        <v>0</v>
      </c>
      <c r="F16" s="26" t="s">
        <v>157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38">
        <f t="shared" si="0"/>
        <v>2</v>
      </c>
      <c r="O16" s="8">
        <v>89</v>
      </c>
      <c r="P16" s="21">
        <f t="shared" si="1"/>
        <v>161090</v>
      </c>
      <c r="Q16" s="20">
        <f t="shared" ca="1" si="2"/>
        <v>90.670030643879514</v>
      </c>
      <c r="R16" s="20">
        <f t="shared" ca="1" si="3"/>
        <v>179.6700306438795</v>
      </c>
      <c r="S16" s="49">
        <f t="shared" ca="1" si="4"/>
        <v>12</v>
      </c>
      <c r="T16" s="53" t="str">
        <f t="shared" ca="1" si="5"/>
        <v>OK</v>
      </c>
      <c r="W16">
        <v>4</v>
      </c>
      <c r="X16">
        <v>3</v>
      </c>
    </row>
    <row r="17" spans="1:24" ht="20.25" thickTop="1" thickBot="1" x14ac:dyDescent="0.45">
      <c r="A17" s="22" t="s">
        <v>176</v>
      </c>
      <c r="B17" s="59"/>
      <c r="C17" s="26" t="s">
        <v>157</v>
      </c>
      <c r="D17" s="26" t="s">
        <v>157</v>
      </c>
      <c r="E17" s="26" t="s">
        <v>157</v>
      </c>
      <c r="F17" s="26">
        <v>2</v>
      </c>
      <c r="G17" s="26" t="s">
        <v>157</v>
      </c>
      <c r="H17" s="26" t="s">
        <v>157</v>
      </c>
      <c r="I17" s="26" t="s">
        <v>157</v>
      </c>
      <c r="J17" s="26" t="s">
        <v>157</v>
      </c>
      <c r="K17" s="26" t="s">
        <v>157</v>
      </c>
      <c r="L17" s="26" t="s">
        <v>157</v>
      </c>
      <c r="M17" s="26" t="s">
        <v>157</v>
      </c>
      <c r="N17" s="38">
        <f t="shared" si="0"/>
        <v>2</v>
      </c>
      <c r="O17" s="8">
        <v>70</v>
      </c>
      <c r="P17" s="21">
        <f t="shared" si="1"/>
        <v>126700</v>
      </c>
      <c r="Q17" s="20">
        <f t="shared" ca="1" si="2"/>
        <v>75.96677469550643</v>
      </c>
      <c r="R17" s="20">
        <f t="shared" ca="1" si="3"/>
        <v>145.96677469550644</v>
      </c>
      <c r="S17" s="49">
        <f t="shared" ca="1" si="4"/>
        <v>17</v>
      </c>
      <c r="T17" s="52" t="str">
        <f t="shared" ca="1" si="5"/>
        <v>OK</v>
      </c>
      <c r="W17">
        <v>5</v>
      </c>
      <c r="X17">
        <v>2</v>
      </c>
    </row>
    <row r="18" spans="1:24" ht="20.25" thickTop="1" thickBot="1" x14ac:dyDescent="0.45">
      <c r="A18" s="22" t="s">
        <v>131</v>
      </c>
      <c r="B18" s="59" t="s">
        <v>263</v>
      </c>
      <c r="C18" s="26">
        <v>0</v>
      </c>
      <c r="D18" s="26" t="s">
        <v>157</v>
      </c>
      <c r="E18" s="26" t="s">
        <v>157</v>
      </c>
      <c r="F18" s="26">
        <v>0</v>
      </c>
      <c r="G18" s="26" t="s">
        <v>157</v>
      </c>
      <c r="H18" s="26">
        <v>0</v>
      </c>
      <c r="I18" s="26" t="s">
        <v>157</v>
      </c>
      <c r="J18" s="26" t="s">
        <v>157</v>
      </c>
      <c r="K18" s="26" t="s">
        <v>157</v>
      </c>
      <c r="L18" s="26" t="s">
        <v>157</v>
      </c>
      <c r="M18" s="26" t="s">
        <v>157</v>
      </c>
      <c r="N18" s="38">
        <f t="shared" si="0"/>
        <v>0</v>
      </c>
      <c r="O18" s="8">
        <v>89</v>
      </c>
      <c r="P18" s="21">
        <f t="shared" si="1"/>
        <v>161090</v>
      </c>
      <c r="Q18" s="20">
        <f t="shared" ca="1" si="2"/>
        <v>89.578214486609156</v>
      </c>
      <c r="R18" s="20">
        <f t="shared" ca="1" si="3"/>
        <v>178.57821448660917</v>
      </c>
      <c r="S18" s="49">
        <f t="shared" ca="1" si="4"/>
        <v>13</v>
      </c>
      <c r="T18" s="53" t="str">
        <f t="shared" ca="1" si="5"/>
        <v>OK</v>
      </c>
      <c r="W18">
        <v>6</v>
      </c>
      <c r="X18">
        <v>0</v>
      </c>
    </row>
    <row r="19" spans="1:24" ht="20.25" thickTop="1" thickBot="1" x14ac:dyDescent="0.45">
      <c r="A19" s="22" t="s">
        <v>242</v>
      </c>
      <c r="B19" s="59" t="s">
        <v>260</v>
      </c>
      <c r="C19" s="26" t="s">
        <v>157</v>
      </c>
      <c r="D19" s="26">
        <v>0</v>
      </c>
      <c r="E19" s="26">
        <v>0</v>
      </c>
      <c r="F19" s="26" t="s">
        <v>157</v>
      </c>
      <c r="G19" s="26">
        <v>0</v>
      </c>
      <c r="H19" s="26" t="s">
        <v>188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38">
        <f t="shared" si="0"/>
        <v>0</v>
      </c>
      <c r="O19" s="8">
        <v>90</v>
      </c>
      <c r="P19" s="21">
        <f t="shared" si="1"/>
        <v>162900</v>
      </c>
      <c r="Q19" s="20">
        <f t="shared" ca="1" si="2"/>
        <v>92.401049999551432</v>
      </c>
      <c r="R19" s="20">
        <f t="shared" ca="1" si="3"/>
        <v>182.40104999955145</v>
      </c>
      <c r="S19" s="49">
        <f t="shared" ca="1" si="4"/>
        <v>9</v>
      </c>
      <c r="T19" s="52" t="str">
        <f t="shared" ca="1" si="5"/>
        <v>OK</v>
      </c>
      <c r="W19">
        <v>7</v>
      </c>
      <c r="X19">
        <v>0</v>
      </c>
    </row>
    <row r="20" spans="1:24" ht="20.25" thickTop="1" thickBot="1" x14ac:dyDescent="0.45">
      <c r="A20" s="22" t="s">
        <v>252</v>
      </c>
      <c r="B20" s="59" t="s">
        <v>261</v>
      </c>
      <c r="C20" s="26" t="s">
        <v>157</v>
      </c>
      <c r="D20" s="26" t="s">
        <v>157</v>
      </c>
      <c r="E20" s="26" t="s">
        <v>157</v>
      </c>
      <c r="F20" s="26" t="s">
        <v>157</v>
      </c>
      <c r="G20" s="26" t="s">
        <v>157</v>
      </c>
      <c r="H20" s="26">
        <v>0</v>
      </c>
      <c r="I20" s="26" t="s">
        <v>157</v>
      </c>
      <c r="J20" s="26">
        <v>0</v>
      </c>
      <c r="K20" s="26">
        <v>0</v>
      </c>
      <c r="L20" s="26">
        <v>0</v>
      </c>
      <c r="M20" s="26">
        <v>0</v>
      </c>
      <c r="N20" s="38">
        <f t="shared" si="0"/>
        <v>0</v>
      </c>
      <c r="O20" s="27">
        <v>88</v>
      </c>
      <c r="P20" s="21">
        <f t="shared" si="1"/>
        <v>159280</v>
      </c>
      <c r="Q20" s="20">
        <f t="shared" ca="1" si="2"/>
        <v>93.404037804190651</v>
      </c>
      <c r="R20" s="20">
        <f t="shared" ca="1" si="3"/>
        <v>181.40403780419064</v>
      </c>
      <c r="S20" s="49">
        <f t="shared" ca="1" si="4"/>
        <v>11</v>
      </c>
      <c r="T20" s="53" t="str">
        <f t="shared" ca="1" si="5"/>
        <v>OK</v>
      </c>
      <c r="W20">
        <v>8</v>
      </c>
      <c r="X20">
        <v>0</v>
      </c>
    </row>
    <row r="21" spans="1:24" ht="20.25" thickTop="1" thickBot="1" x14ac:dyDescent="0.45">
      <c r="A21" s="22" t="s">
        <v>253</v>
      </c>
      <c r="B21" s="59" t="s">
        <v>261</v>
      </c>
      <c r="C21" s="26">
        <v>0</v>
      </c>
      <c r="D21" s="26">
        <v>0</v>
      </c>
      <c r="E21" s="26" t="s">
        <v>157</v>
      </c>
      <c r="F21" s="26" t="s">
        <v>157</v>
      </c>
      <c r="G21" s="26" t="s">
        <v>157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 t="s">
        <v>157</v>
      </c>
      <c r="N21" s="38">
        <f t="shared" si="0"/>
        <v>0</v>
      </c>
      <c r="O21" s="27">
        <v>89</v>
      </c>
      <c r="P21" s="21">
        <f t="shared" si="1"/>
        <v>161090</v>
      </c>
      <c r="Q21" s="20">
        <f t="shared" ca="1" si="2"/>
        <v>92.87472715033698</v>
      </c>
      <c r="R21" s="20">
        <f t="shared" ca="1" si="3"/>
        <v>181.87472715033698</v>
      </c>
      <c r="S21" s="49">
        <f t="shared" ca="1" si="4"/>
        <v>10</v>
      </c>
      <c r="T21" s="52" t="str">
        <f t="shared" ca="1" si="5"/>
        <v>OK</v>
      </c>
      <c r="W21">
        <v>9</v>
      </c>
      <c r="X21">
        <v>0</v>
      </c>
    </row>
    <row r="22" spans="1:24" ht="20.25" thickTop="1" thickBot="1" x14ac:dyDescent="0.45">
      <c r="A22" s="22" t="s">
        <v>246</v>
      </c>
      <c r="B22" s="59" t="s">
        <v>266</v>
      </c>
      <c r="C22" s="26" t="s">
        <v>157</v>
      </c>
      <c r="D22" s="26" t="s">
        <v>188</v>
      </c>
      <c r="E22" s="26">
        <v>0</v>
      </c>
      <c r="F22" s="26" t="s">
        <v>157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38">
        <f t="shared" si="0"/>
        <v>0</v>
      </c>
      <c r="O22" s="27">
        <v>85</v>
      </c>
      <c r="P22" s="21">
        <f t="shared" si="1"/>
        <v>153850</v>
      </c>
      <c r="Q22" s="20">
        <f t="shared" ca="1" si="2"/>
        <v>85.232551626362252</v>
      </c>
      <c r="R22" s="20">
        <f t="shared" ca="1" si="3"/>
        <v>170.23255162636224</v>
      </c>
      <c r="S22" s="49">
        <f t="shared" ca="1" si="4"/>
        <v>15</v>
      </c>
      <c r="T22" s="53" t="str">
        <f t="shared" ca="1" si="5"/>
        <v>OK</v>
      </c>
      <c r="W22">
        <v>10</v>
      </c>
      <c r="X22">
        <v>0</v>
      </c>
    </row>
    <row r="23" spans="1:24" ht="20.25" thickTop="1" thickBot="1" x14ac:dyDescent="0.45">
      <c r="A23" s="22" t="s">
        <v>256</v>
      </c>
      <c r="B23" s="59" t="s">
        <v>264</v>
      </c>
      <c r="C23" s="26" t="s">
        <v>157</v>
      </c>
      <c r="D23" s="26">
        <v>0</v>
      </c>
      <c r="E23" s="26">
        <v>0</v>
      </c>
      <c r="F23" s="26" t="s">
        <v>157</v>
      </c>
      <c r="G23" s="26">
        <v>0</v>
      </c>
      <c r="H23" s="26" t="s">
        <v>188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38">
        <f t="shared" si="0"/>
        <v>0</v>
      </c>
      <c r="O23" s="8">
        <v>84</v>
      </c>
      <c r="P23" s="21">
        <f t="shared" si="1"/>
        <v>152040</v>
      </c>
      <c r="Q23" s="20">
        <f t="shared" ca="1" si="2"/>
        <v>85.682903911360242</v>
      </c>
      <c r="R23" s="20">
        <f t="shared" ca="1" si="3"/>
        <v>169.68290391136026</v>
      </c>
      <c r="S23" s="49">
        <f t="shared" ca="1" si="4"/>
        <v>16</v>
      </c>
      <c r="T23" s="52" t="str">
        <f t="shared" ca="1" si="5"/>
        <v>OK</v>
      </c>
    </row>
    <row r="24" spans="1:24" ht="19.5" thickTop="1" x14ac:dyDescent="0.4">
      <c r="A24" s="22" t="s">
        <v>247</v>
      </c>
      <c r="B24" s="59" t="s">
        <v>262</v>
      </c>
      <c r="C24" s="26">
        <v>0</v>
      </c>
      <c r="D24" s="26" t="s">
        <v>188</v>
      </c>
      <c r="E24" s="26">
        <v>0</v>
      </c>
      <c r="F24" s="26" t="s">
        <v>157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38">
        <f t="shared" si="0"/>
        <v>0</v>
      </c>
      <c r="O24" s="8">
        <v>85</v>
      </c>
      <c r="P24" s="21">
        <f t="shared" si="1"/>
        <v>153850</v>
      </c>
      <c r="Q24" s="20">
        <f t="shared" ca="1" si="2"/>
        <v>90.830739648402172</v>
      </c>
      <c r="R24" s="20">
        <f t="shared" ca="1" si="3"/>
        <v>175.83073964840219</v>
      </c>
      <c r="S24" s="49">
        <f t="shared" ca="1" si="4"/>
        <v>14</v>
      </c>
      <c r="T24" s="52" t="str">
        <f t="shared" ca="1" si="5"/>
        <v>OK</v>
      </c>
    </row>
    <row r="25" spans="1:24" x14ac:dyDescent="0.25">
      <c r="O25">
        <f>SUM(O4:O24)</f>
        <v>1810</v>
      </c>
    </row>
    <row r="31" spans="1:24" ht="18.75" x14ac:dyDescent="0.4">
      <c r="A31" s="57" t="s">
        <v>260</v>
      </c>
      <c r="B31" s="58">
        <f>SUMIF(B4:B24,A31,$N$4:$N$24)</f>
        <v>93</v>
      </c>
    </row>
    <row r="32" spans="1:24" ht="18.75" x14ac:dyDescent="0.4">
      <c r="A32" s="57" t="s">
        <v>261</v>
      </c>
      <c r="B32" s="58">
        <f ca="1">SUMIF(B3:B25,A32,$N$4:$N$24)</f>
        <v>83</v>
      </c>
    </row>
    <row r="33" spans="1:2" ht="18.75" x14ac:dyDescent="0.4">
      <c r="A33" s="57" t="s">
        <v>266</v>
      </c>
      <c r="B33" s="58">
        <f ca="1">SUMIF(B4:B25,A33,$N$4:$N$24)</f>
        <v>44</v>
      </c>
    </row>
    <row r="34" spans="1:2" ht="18.75" x14ac:dyDescent="0.4">
      <c r="A34" s="57" t="s">
        <v>262</v>
      </c>
      <c r="B34" s="58">
        <f>SUMIF(B4:B24,A34,$N$4:$N$24)</f>
        <v>11</v>
      </c>
    </row>
    <row r="35" spans="1:2" ht="18.75" x14ac:dyDescent="0.4">
      <c r="A35" s="57" t="s">
        <v>263</v>
      </c>
      <c r="B35" s="58">
        <f>SUMIF(B4:B24,A35,$N$4:$N$24)</f>
        <v>0</v>
      </c>
    </row>
    <row r="36" spans="1:2" ht="18.75" x14ac:dyDescent="0.4">
      <c r="A36" s="60" t="s">
        <v>264</v>
      </c>
      <c r="B36" s="58">
        <f>SUMIF(B4:B24,A36,$N$4:$N$24)</f>
        <v>0</v>
      </c>
    </row>
    <row r="37" spans="1:2" ht="18.75" x14ac:dyDescent="0.4">
      <c r="A37" s="5"/>
      <c r="B37" s="39"/>
    </row>
    <row r="38" spans="1:2" ht="18.75" x14ac:dyDescent="0.4">
      <c r="A38" s="5"/>
      <c r="B38" s="39"/>
    </row>
    <row r="39" spans="1:2" ht="18.75" x14ac:dyDescent="0.4">
      <c r="A39" s="5"/>
      <c r="B39" s="39"/>
    </row>
  </sheetData>
  <sortState xmlns:xlrd2="http://schemas.microsoft.com/office/spreadsheetml/2017/richdata2" ref="A31:B36">
    <sortCondition descending="1" ref="B31:B36"/>
  </sortState>
  <phoneticPr fontId="11" type="noConversion"/>
  <conditionalFormatting sqref="C4:M24">
    <cfRule type="containsText" dxfId="49" priority="1" operator="containsText" text="DNF">
      <formula>NOT(ISERROR(SEARCH("DNF",C4)))</formula>
    </cfRule>
  </conditionalFormatting>
  <conditionalFormatting sqref="S3:S24">
    <cfRule type="cellIs" dxfId="48" priority="4" operator="lessThan">
      <formula>6</formula>
    </cfRule>
  </conditionalFormatting>
  <conditionalFormatting sqref="S4:S24">
    <cfRule type="cellIs" dxfId="47" priority="6" operator="equal">
      <formula>1</formula>
    </cfRule>
  </conditionalFormatting>
  <conditionalFormatting sqref="T4:T24">
    <cfRule type="containsText" dxfId="46" priority="5" operator="containsText" text="DNF">
      <formula>NOT(ISERROR(SEARCH("DNF",T4)))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11"/>
  <dimension ref="A1:Y29"/>
  <sheetViews>
    <sheetView zoomScale="80" zoomScaleNormal="80" workbookViewId="0">
      <pane ySplit="3" topLeftCell="A4" activePane="bottomLeft" state="frozen"/>
      <selection pane="bottomLeft" activeCell="B27" sqref="B27"/>
    </sheetView>
  </sheetViews>
  <sheetFormatPr defaultRowHeight="15" x14ac:dyDescent="0.25"/>
  <cols>
    <col min="1" max="22" width="16" customWidth="1"/>
  </cols>
  <sheetData>
    <row r="1" spans="1:25" ht="21" x14ac:dyDescent="0.35">
      <c r="A1" s="1" t="s">
        <v>63</v>
      </c>
    </row>
    <row r="3" spans="1:25" ht="15.75" thickBot="1" x14ac:dyDescent="0.3">
      <c r="A3" s="7" t="s">
        <v>6</v>
      </c>
      <c r="B3" s="16" t="s">
        <v>7</v>
      </c>
      <c r="C3" s="16" t="s">
        <v>140</v>
      </c>
      <c r="D3" s="16" t="s">
        <v>141</v>
      </c>
      <c r="E3" s="16" t="s">
        <v>197</v>
      </c>
      <c r="F3" s="16" t="s">
        <v>144</v>
      </c>
      <c r="G3" s="16" t="s">
        <v>139</v>
      </c>
      <c r="H3" s="16" t="s">
        <v>160</v>
      </c>
      <c r="I3" s="16" t="s">
        <v>250</v>
      </c>
      <c r="J3" s="16" t="s">
        <v>145</v>
      </c>
      <c r="K3" s="16" t="s">
        <v>270</v>
      </c>
      <c r="L3" s="16" t="s">
        <v>18</v>
      </c>
      <c r="M3" s="17" t="s">
        <v>276</v>
      </c>
      <c r="N3" s="17" t="s">
        <v>277</v>
      </c>
      <c r="O3" s="17" t="s">
        <v>278</v>
      </c>
      <c r="P3" s="17" t="s">
        <v>19</v>
      </c>
      <c r="Q3" s="17" t="s">
        <v>158</v>
      </c>
      <c r="R3" s="16" t="s">
        <v>20</v>
      </c>
      <c r="S3" s="16" t="s">
        <v>21</v>
      </c>
      <c r="T3" s="16" t="s">
        <v>22</v>
      </c>
      <c r="U3" s="50" t="s">
        <v>187</v>
      </c>
    </row>
    <row r="4" spans="1:25" ht="20.25" thickTop="1" thickBot="1" x14ac:dyDescent="0.45">
      <c r="A4" s="22" t="s">
        <v>246</v>
      </c>
      <c r="B4" s="59" t="s">
        <v>266</v>
      </c>
      <c r="C4" s="26">
        <v>7</v>
      </c>
      <c r="D4" s="26" t="s">
        <v>157</v>
      </c>
      <c r="E4" s="29">
        <v>9</v>
      </c>
      <c r="F4" s="26">
        <v>7</v>
      </c>
      <c r="G4" s="29">
        <v>9</v>
      </c>
      <c r="H4" s="29">
        <v>9</v>
      </c>
      <c r="I4" s="29">
        <v>9</v>
      </c>
      <c r="J4" s="26">
        <v>6</v>
      </c>
      <c r="K4" s="26">
        <v>6</v>
      </c>
      <c r="L4" s="38">
        <f t="shared" ref="L4:L22" si="0">SUM(C4:K4)</f>
        <v>62</v>
      </c>
      <c r="M4" s="27">
        <v>10</v>
      </c>
      <c r="N4" s="27">
        <v>8</v>
      </c>
      <c r="O4" s="27">
        <v>9</v>
      </c>
      <c r="P4" s="27">
        <f>M4+N4+O4+69</f>
        <v>96</v>
      </c>
      <c r="Q4" s="21">
        <f t="shared" ref="Q4:Q22" ca="1" si="1">P4*$P$23</f>
        <v>152928</v>
      </c>
      <c r="R4" s="20">
        <f ca="1">P4+RAND()*6</f>
        <v>100.20400015853845</v>
      </c>
      <c r="S4" s="20">
        <f ca="1">P4+R4</f>
        <v>196.20400015853846</v>
      </c>
      <c r="T4" s="49">
        <f ca="1">RANK(S4,$S$4:$S$22,0)</f>
        <v>1</v>
      </c>
      <c r="U4" s="51" t="str">
        <f ca="1">IF(RAND()&lt;0.2-(N4)/50,"DNF","OK")</f>
        <v>OK</v>
      </c>
    </row>
    <row r="5" spans="1:25" ht="20.25" thickTop="1" thickBot="1" x14ac:dyDescent="0.45">
      <c r="A5" s="22" t="s">
        <v>195</v>
      </c>
      <c r="B5" s="59" t="s">
        <v>262</v>
      </c>
      <c r="C5" s="29">
        <v>8</v>
      </c>
      <c r="D5" s="26" t="s">
        <v>157</v>
      </c>
      <c r="E5" s="26">
        <v>6</v>
      </c>
      <c r="F5" s="29">
        <v>8</v>
      </c>
      <c r="G5" s="26">
        <v>6</v>
      </c>
      <c r="H5" s="26">
        <v>6</v>
      </c>
      <c r="I5" s="26" t="s">
        <v>188</v>
      </c>
      <c r="J5" s="29">
        <v>9</v>
      </c>
      <c r="K5" s="29">
        <v>8</v>
      </c>
      <c r="L5" s="38">
        <f t="shared" si="0"/>
        <v>51</v>
      </c>
      <c r="M5" s="27">
        <v>9</v>
      </c>
      <c r="N5" s="27">
        <v>8</v>
      </c>
      <c r="O5" s="27">
        <v>9</v>
      </c>
      <c r="P5" s="27">
        <f>M5+N5+O5+69</f>
        <v>95</v>
      </c>
      <c r="Q5" s="21">
        <f t="shared" ca="1" si="1"/>
        <v>146556</v>
      </c>
      <c r="R5" s="20">
        <f t="shared" ref="R5:R22" ca="1" si="2">P5+RAND()*6</f>
        <v>97.46368557858051</v>
      </c>
      <c r="S5" s="20">
        <f t="shared" ref="S5:S22" ca="1" si="3">P5+R5</f>
        <v>192.46368557858051</v>
      </c>
      <c r="T5" s="49">
        <f t="shared" ref="T5:T22" ca="1" si="4">RANK(S5,$S$4:$S$22,0)</f>
        <v>2</v>
      </c>
      <c r="U5" s="51" t="str">
        <f t="shared" ref="U5:U22" ca="1" si="5">IF(RAND()&lt;0.2-(N5)/50,"DNF","OK")</f>
        <v>OK</v>
      </c>
    </row>
    <row r="6" spans="1:25" ht="20.25" thickTop="1" thickBot="1" x14ac:dyDescent="0.45">
      <c r="A6" s="22" t="s">
        <v>252</v>
      </c>
      <c r="B6" s="59" t="s">
        <v>261</v>
      </c>
      <c r="C6" s="26">
        <v>3</v>
      </c>
      <c r="D6" s="26" t="s">
        <v>157</v>
      </c>
      <c r="E6" s="26">
        <v>3</v>
      </c>
      <c r="F6" s="26">
        <v>4</v>
      </c>
      <c r="G6" s="26">
        <v>4</v>
      </c>
      <c r="H6" s="26">
        <v>3</v>
      </c>
      <c r="I6" s="26">
        <v>2</v>
      </c>
      <c r="J6" s="26">
        <v>4</v>
      </c>
      <c r="K6" s="26">
        <v>3</v>
      </c>
      <c r="L6" s="38">
        <f t="shared" si="0"/>
        <v>26</v>
      </c>
      <c r="M6" s="27">
        <v>8</v>
      </c>
      <c r="N6" s="27">
        <v>7</v>
      </c>
      <c r="O6" s="27">
        <v>9</v>
      </c>
      <c r="P6" s="27">
        <f>M6+N6+O6+69</f>
        <v>93</v>
      </c>
      <c r="Q6" s="21">
        <f t="shared" ca="1" si="1"/>
        <v>151335</v>
      </c>
      <c r="R6" s="20">
        <f t="shared" ca="1" si="2"/>
        <v>95.514277109591703</v>
      </c>
      <c r="S6" s="20">
        <f t="shared" ca="1" si="3"/>
        <v>188.51427710959172</v>
      </c>
      <c r="T6" s="49">
        <f t="shared" ca="1" si="4"/>
        <v>3</v>
      </c>
      <c r="U6" s="51" t="str">
        <f t="shared" ca="1" si="5"/>
        <v>OK</v>
      </c>
    </row>
    <row r="7" spans="1:25" ht="20.25" thickTop="1" thickBot="1" x14ac:dyDescent="0.45">
      <c r="A7" s="22" t="s">
        <v>240</v>
      </c>
      <c r="B7" s="59" t="s">
        <v>261</v>
      </c>
      <c r="C7" s="26">
        <v>2</v>
      </c>
      <c r="D7" s="26" t="s">
        <v>157</v>
      </c>
      <c r="E7" s="26">
        <v>4</v>
      </c>
      <c r="F7" s="26">
        <v>0</v>
      </c>
      <c r="G7" s="26">
        <v>3</v>
      </c>
      <c r="H7" s="26">
        <v>4</v>
      </c>
      <c r="I7" s="26">
        <v>6</v>
      </c>
      <c r="J7" s="26">
        <v>3</v>
      </c>
      <c r="K7" s="26">
        <v>4</v>
      </c>
      <c r="L7" s="38">
        <f t="shared" si="0"/>
        <v>26</v>
      </c>
      <c r="M7" s="27">
        <v>8</v>
      </c>
      <c r="N7" s="27">
        <v>8</v>
      </c>
      <c r="O7" s="27">
        <v>7</v>
      </c>
      <c r="P7" s="27">
        <f>M7+N7+O7+69</f>
        <v>92</v>
      </c>
      <c r="Q7" s="21">
        <f t="shared" ca="1" si="1"/>
        <v>148149</v>
      </c>
      <c r="R7" s="20">
        <f t="shared" ca="1" si="2"/>
        <v>92.20501370896153</v>
      </c>
      <c r="S7" s="20">
        <f t="shared" ca="1" si="3"/>
        <v>184.20501370896153</v>
      </c>
      <c r="T7" s="49">
        <f t="shared" ca="1" si="4"/>
        <v>5</v>
      </c>
      <c r="U7" s="51" t="str">
        <f t="shared" ca="1" si="5"/>
        <v>OK</v>
      </c>
    </row>
    <row r="8" spans="1:25" ht="20.25" thickTop="1" thickBot="1" x14ac:dyDescent="0.45">
      <c r="A8" s="22" t="s">
        <v>257</v>
      </c>
      <c r="B8" s="59" t="s">
        <v>266</v>
      </c>
      <c r="C8" s="26">
        <v>4</v>
      </c>
      <c r="D8" s="26" t="s">
        <v>157</v>
      </c>
      <c r="E8" s="26" t="s">
        <v>157</v>
      </c>
      <c r="F8" s="26">
        <v>0</v>
      </c>
      <c r="G8" s="26">
        <v>2</v>
      </c>
      <c r="H8" s="26">
        <v>2</v>
      </c>
      <c r="I8" s="26">
        <v>3</v>
      </c>
      <c r="J8" s="26" t="s">
        <v>188</v>
      </c>
      <c r="K8" s="26">
        <v>0</v>
      </c>
      <c r="L8" s="38">
        <f t="shared" si="0"/>
        <v>11</v>
      </c>
      <c r="M8" s="27">
        <v>7</v>
      </c>
      <c r="N8" s="27">
        <v>7</v>
      </c>
      <c r="O8" s="27">
        <v>9</v>
      </c>
      <c r="P8" s="27">
        <f>M8+N8+O8+69</f>
        <v>92</v>
      </c>
      <c r="Q8" s="21">
        <f t="shared" ca="1" si="1"/>
        <v>144963</v>
      </c>
      <c r="R8" s="20">
        <f t="shared" ca="1" si="2"/>
        <v>95.777831826816836</v>
      </c>
      <c r="S8" s="20">
        <f t="shared" ca="1" si="3"/>
        <v>187.77783182681685</v>
      </c>
      <c r="T8" s="49">
        <f t="shared" ca="1" si="4"/>
        <v>4</v>
      </c>
      <c r="U8" s="51" t="str">
        <f t="shared" ca="1" si="5"/>
        <v>OK</v>
      </c>
    </row>
    <row r="9" spans="1:25" ht="20.25" thickTop="1" thickBot="1" x14ac:dyDescent="0.45">
      <c r="A9" s="22" t="s">
        <v>272</v>
      </c>
      <c r="B9" s="59"/>
      <c r="C9" s="26" t="s">
        <v>157</v>
      </c>
      <c r="D9" s="29">
        <v>8</v>
      </c>
      <c r="E9" s="26" t="s">
        <v>157</v>
      </c>
      <c r="F9" s="26" t="s">
        <v>157</v>
      </c>
      <c r="G9" s="26" t="s">
        <v>157</v>
      </c>
      <c r="H9" s="26" t="s">
        <v>157</v>
      </c>
      <c r="I9" s="26" t="s">
        <v>157</v>
      </c>
      <c r="J9" s="26" t="s">
        <v>157</v>
      </c>
      <c r="K9" s="26" t="s">
        <v>157</v>
      </c>
      <c r="L9" s="38">
        <f t="shared" si="0"/>
        <v>8</v>
      </c>
      <c r="M9" s="27">
        <v>0</v>
      </c>
      <c r="N9" s="27">
        <v>0</v>
      </c>
      <c r="O9" s="27">
        <v>0</v>
      </c>
      <c r="P9" s="27">
        <v>70</v>
      </c>
      <c r="Q9" s="21">
        <f t="shared" ca="1" si="1"/>
        <v>146556</v>
      </c>
      <c r="R9" s="20">
        <f t="shared" ca="1" si="2"/>
        <v>74.465971826180322</v>
      </c>
      <c r="S9" s="20">
        <f t="shared" ca="1" si="3"/>
        <v>144.46597182618032</v>
      </c>
      <c r="T9" s="49">
        <f t="shared" ca="1" si="4"/>
        <v>15</v>
      </c>
      <c r="U9" s="51" t="str">
        <f t="shared" ca="1" si="5"/>
        <v>OK</v>
      </c>
    </row>
    <row r="10" spans="1:25" ht="20.25" thickTop="1" thickBot="1" x14ac:dyDescent="0.45">
      <c r="A10" s="22" t="s">
        <v>183</v>
      </c>
      <c r="B10" s="59" t="s">
        <v>266</v>
      </c>
      <c r="C10" s="26">
        <v>0</v>
      </c>
      <c r="D10" s="26" t="s">
        <v>157</v>
      </c>
      <c r="E10" s="26">
        <v>2</v>
      </c>
      <c r="F10" s="26">
        <v>3</v>
      </c>
      <c r="G10" s="26">
        <v>0</v>
      </c>
      <c r="H10" s="26">
        <v>0</v>
      </c>
      <c r="I10" s="26">
        <v>1</v>
      </c>
      <c r="J10" s="26">
        <v>0</v>
      </c>
      <c r="K10" s="26">
        <v>2</v>
      </c>
      <c r="L10" s="38">
        <f t="shared" si="0"/>
        <v>8</v>
      </c>
      <c r="M10" s="27">
        <v>7</v>
      </c>
      <c r="N10" s="27">
        <v>7</v>
      </c>
      <c r="O10" s="27">
        <v>8</v>
      </c>
      <c r="P10" s="27">
        <f>M10+N10+O10+69</f>
        <v>91</v>
      </c>
      <c r="Q10" s="21">
        <f t="shared" ca="1" si="1"/>
        <v>143370</v>
      </c>
      <c r="R10" s="20">
        <f t="shared" ca="1" si="2"/>
        <v>93.127627559083038</v>
      </c>
      <c r="S10" s="20">
        <f t="shared" ca="1" si="3"/>
        <v>184.12762755908304</v>
      </c>
      <c r="T10" s="49">
        <f t="shared" ca="1" si="4"/>
        <v>6</v>
      </c>
      <c r="U10" s="51" t="str">
        <f t="shared" ca="1" si="5"/>
        <v>OK</v>
      </c>
    </row>
    <row r="11" spans="1:25" ht="20.25" thickTop="1" thickBot="1" x14ac:dyDescent="0.45">
      <c r="A11" s="22" t="s">
        <v>176</v>
      </c>
      <c r="B11" s="59"/>
      <c r="C11" s="26" t="s">
        <v>157</v>
      </c>
      <c r="D11" s="26">
        <v>6</v>
      </c>
      <c r="E11" s="26" t="s">
        <v>157</v>
      </c>
      <c r="F11" s="26" t="s">
        <v>157</v>
      </c>
      <c r="G11" s="26" t="s">
        <v>157</v>
      </c>
      <c r="H11" s="26" t="s">
        <v>157</v>
      </c>
      <c r="I11" s="26" t="s">
        <v>157</v>
      </c>
      <c r="J11" s="26" t="s">
        <v>157</v>
      </c>
      <c r="K11" s="26" t="s">
        <v>157</v>
      </c>
      <c r="L11" s="38">
        <f t="shared" si="0"/>
        <v>6</v>
      </c>
      <c r="M11" s="27">
        <v>0</v>
      </c>
      <c r="N11" s="27">
        <v>0</v>
      </c>
      <c r="O11" s="27">
        <v>0</v>
      </c>
      <c r="P11" s="27">
        <v>70</v>
      </c>
      <c r="Q11" s="21">
        <f t="shared" ca="1" si="1"/>
        <v>138591</v>
      </c>
      <c r="R11" s="20">
        <f t="shared" ca="1" si="2"/>
        <v>70.502144818151947</v>
      </c>
      <c r="S11" s="20">
        <f t="shared" ca="1" si="3"/>
        <v>140.50214481815195</v>
      </c>
      <c r="T11" s="49">
        <f t="shared" ca="1" si="4"/>
        <v>19</v>
      </c>
      <c r="U11" s="51" t="str">
        <f t="shared" ca="1" si="5"/>
        <v>OK</v>
      </c>
    </row>
    <row r="12" spans="1:25" ht="20.25" thickTop="1" thickBot="1" x14ac:dyDescent="0.45">
      <c r="A12" s="22" t="s">
        <v>213</v>
      </c>
      <c r="B12" s="59"/>
      <c r="C12" s="26" t="s">
        <v>157</v>
      </c>
      <c r="D12" s="26">
        <v>5</v>
      </c>
      <c r="E12" s="26" t="s">
        <v>157</v>
      </c>
      <c r="F12" s="26" t="s">
        <v>157</v>
      </c>
      <c r="G12" s="26" t="s">
        <v>157</v>
      </c>
      <c r="H12" s="26" t="s">
        <v>157</v>
      </c>
      <c r="I12" s="26" t="s">
        <v>157</v>
      </c>
      <c r="J12" s="26" t="s">
        <v>157</v>
      </c>
      <c r="K12" s="26" t="s">
        <v>157</v>
      </c>
      <c r="L12" s="38">
        <f t="shared" si="0"/>
        <v>5</v>
      </c>
      <c r="M12" s="27">
        <v>0</v>
      </c>
      <c r="N12" s="27">
        <v>0</v>
      </c>
      <c r="O12" s="27">
        <v>0</v>
      </c>
      <c r="P12" s="27">
        <v>70</v>
      </c>
      <c r="Q12" s="21">
        <f t="shared" ca="1" si="1"/>
        <v>133812</v>
      </c>
      <c r="R12" s="20">
        <f t="shared" ca="1" si="2"/>
        <v>73.268705742984125</v>
      </c>
      <c r="S12" s="20">
        <f t="shared" ca="1" si="3"/>
        <v>143.26870574298414</v>
      </c>
      <c r="T12" s="49">
        <f t="shared" ca="1" si="4"/>
        <v>17</v>
      </c>
      <c r="U12" s="51" t="str">
        <f t="shared" ca="1" si="5"/>
        <v>OK</v>
      </c>
      <c r="X12">
        <v>1</v>
      </c>
      <c r="Y12">
        <v>8</v>
      </c>
    </row>
    <row r="13" spans="1:25" ht="20.25" thickTop="1" thickBot="1" x14ac:dyDescent="0.45">
      <c r="A13" s="22" t="s">
        <v>271</v>
      </c>
      <c r="B13" s="59" t="s">
        <v>261</v>
      </c>
      <c r="C13" s="26" t="s">
        <v>157</v>
      </c>
      <c r="D13" s="26" t="s">
        <v>157</v>
      </c>
      <c r="E13" s="26" t="s">
        <v>157</v>
      </c>
      <c r="F13" s="26">
        <v>2</v>
      </c>
      <c r="G13" s="26" t="s">
        <v>157</v>
      </c>
      <c r="H13" s="26">
        <v>0</v>
      </c>
      <c r="I13" s="26">
        <v>0</v>
      </c>
      <c r="J13" s="26">
        <v>2</v>
      </c>
      <c r="K13" s="26">
        <v>0</v>
      </c>
      <c r="L13" s="38">
        <f t="shared" si="0"/>
        <v>4</v>
      </c>
      <c r="M13" s="27">
        <v>6</v>
      </c>
      <c r="N13" s="27">
        <v>8</v>
      </c>
      <c r="O13" s="27">
        <v>7</v>
      </c>
      <c r="P13" s="27">
        <f>M13+N13+O13+69</f>
        <v>90</v>
      </c>
      <c r="Q13" s="21">
        <f t="shared" ca="1" si="1"/>
        <v>111510</v>
      </c>
      <c r="R13" s="20">
        <f ca="1">P13+RAND()*6</f>
        <v>94.094292865900869</v>
      </c>
      <c r="S13" s="20">
        <f t="shared" ca="1" si="3"/>
        <v>184.09429286590085</v>
      </c>
      <c r="T13" s="49">
        <f t="shared" ca="1" si="4"/>
        <v>7</v>
      </c>
      <c r="U13" s="51" t="str">
        <f t="shared" ca="1" si="5"/>
        <v>OK</v>
      </c>
      <c r="X13">
        <v>2</v>
      </c>
      <c r="Y13">
        <v>6</v>
      </c>
    </row>
    <row r="14" spans="1:25" ht="20.25" thickTop="1" thickBot="1" x14ac:dyDescent="0.45">
      <c r="A14" s="22" t="s">
        <v>212</v>
      </c>
      <c r="B14" s="59"/>
      <c r="C14" s="26" t="s">
        <v>157</v>
      </c>
      <c r="D14" s="26">
        <v>3</v>
      </c>
      <c r="E14" s="26" t="s">
        <v>157</v>
      </c>
      <c r="F14" s="26" t="s">
        <v>157</v>
      </c>
      <c r="G14" s="26" t="s">
        <v>157</v>
      </c>
      <c r="H14" s="26" t="s">
        <v>157</v>
      </c>
      <c r="I14" s="26" t="s">
        <v>157</v>
      </c>
      <c r="J14" s="26" t="s">
        <v>157</v>
      </c>
      <c r="K14" s="26" t="s">
        <v>157</v>
      </c>
      <c r="L14" s="38">
        <f t="shared" si="0"/>
        <v>3</v>
      </c>
      <c r="M14" s="27">
        <v>0</v>
      </c>
      <c r="N14" s="27">
        <v>0</v>
      </c>
      <c r="O14" s="27">
        <v>0</v>
      </c>
      <c r="P14" s="27">
        <v>70</v>
      </c>
      <c r="Q14" s="21">
        <f t="shared" ca="1" si="1"/>
        <v>111510</v>
      </c>
      <c r="R14" s="20">
        <f t="shared" ca="1" si="2"/>
        <v>73.842920272895881</v>
      </c>
      <c r="S14" s="20">
        <f t="shared" ca="1" si="3"/>
        <v>143.84292027289587</v>
      </c>
      <c r="T14" s="49">
        <f t="shared" ca="1" si="4"/>
        <v>16</v>
      </c>
      <c r="U14" s="51" t="str">
        <f t="shared" ca="1" si="5"/>
        <v>DNF</v>
      </c>
      <c r="X14">
        <v>3</v>
      </c>
      <c r="Y14">
        <v>4</v>
      </c>
    </row>
    <row r="15" spans="1:25" ht="20.25" thickTop="1" thickBot="1" x14ac:dyDescent="0.45">
      <c r="A15" s="22" t="s">
        <v>274</v>
      </c>
      <c r="B15" s="59"/>
      <c r="C15" s="26" t="s">
        <v>157</v>
      </c>
      <c r="D15" s="26">
        <v>2</v>
      </c>
      <c r="E15" s="26" t="s">
        <v>157</v>
      </c>
      <c r="F15" s="26" t="s">
        <v>157</v>
      </c>
      <c r="G15" s="26" t="s">
        <v>157</v>
      </c>
      <c r="H15" s="26" t="s">
        <v>157</v>
      </c>
      <c r="I15" s="26" t="s">
        <v>157</v>
      </c>
      <c r="J15" s="26" t="s">
        <v>157</v>
      </c>
      <c r="K15" s="26" t="s">
        <v>157</v>
      </c>
      <c r="L15" s="38">
        <f t="shared" si="0"/>
        <v>2</v>
      </c>
      <c r="M15" s="27">
        <v>0</v>
      </c>
      <c r="N15" s="27">
        <v>0</v>
      </c>
      <c r="O15" s="27">
        <v>0</v>
      </c>
      <c r="P15" s="27">
        <v>70</v>
      </c>
      <c r="Q15" s="21">
        <f t="shared" ca="1" si="1"/>
        <v>111510</v>
      </c>
      <c r="R15" s="20">
        <f t="shared" ca="1" si="2"/>
        <v>72.298620051599684</v>
      </c>
      <c r="S15" s="20">
        <f t="shared" ca="1" si="3"/>
        <v>142.2986200515997</v>
      </c>
      <c r="T15" s="49">
        <f t="shared" ca="1" si="4"/>
        <v>18</v>
      </c>
      <c r="U15" s="51" t="str">
        <f t="shared" ca="1" si="5"/>
        <v>OK</v>
      </c>
      <c r="X15">
        <v>4</v>
      </c>
      <c r="Y15">
        <v>3</v>
      </c>
    </row>
    <row r="16" spans="1:25" ht="20.25" thickTop="1" thickBot="1" x14ac:dyDescent="0.45">
      <c r="A16" s="22" t="s">
        <v>247</v>
      </c>
      <c r="B16" s="59" t="s">
        <v>262</v>
      </c>
      <c r="C16" s="26">
        <v>0</v>
      </c>
      <c r="D16" s="26" t="s">
        <v>157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 t="s">
        <v>157</v>
      </c>
      <c r="L16" s="38">
        <f t="shared" si="0"/>
        <v>0</v>
      </c>
      <c r="M16" s="27">
        <v>7</v>
      </c>
      <c r="N16" s="27">
        <v>5</v>
      </c>
      <c r="O16" s="27">
        <v>6</v>
      </c>
      <c r="P16" s="27">
        <f t="shared" ref="P16:P22" si="6">M16+N16+O16+69</f>
        <v>87</v>
      </c>
      <c r="Q16" s="21">
        <f t="shared" ca="1" si="1"/>
        <v>133812</v>
      </c>
      <c r="R16" s="20">
        <f t="shared" ca="1" si="2"/>
        <v>87.393212348086507</v>
      </c>
      <c r="S16" s="20">
        <f t="shared" ca="1" si="3"/>
        <v>174.39321234808651</v>
      </c>
      <c r="T16" s="49">
        <f t="shared" ca="1" si="4"/>
        <v>9</v>
      </c>
      <c r="U16" s="51" t="str">
        <f t="shared" ca="1" si="5"/>
        <v>OK</v>
      </c>
      <c r="X16">
        <v>5</v>
      </c>
      <c r="Y16">
        <v>2</v>
      </c>
    </row>
    <row r="17" spans="1:25" ht="20.25" thickTop="1" thickBot="1" x14ac:dyDescent="0.45">
      <c r="A17" s="22" t="s">
        <v>241</v>
      </c>
      <c r="B17" s="59" t="s">
        <v>266</v>
      </c>
      <c r="C17" s="26">
        <v>0</v>
      </c>
      <c r="D17" s="26" t="s">
        <v>157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 t="s">
        <v>157</v>
      </c>
      <c r="K17" s="26" t="s">
        <v>157</v>
      </c>
      <c r="L17" s="38">
        <f t="shared" si="0"/>
        <v>0</v>
      </c>
      <c r="M17" s="27">
        <v>5</v>
      </c>
      <c r="N17" s="27">
        <v>5</v>
      </c>
      <c r="O17" s="27">
        <v>5</v>
      </c>
      <c r="P17" s="27">
        <f t="shared" si="6"/>
        <v>84</v>
      </c>
      <c r="Q17" s="21">
        <f t="shared" ca="1" si="1"/>
        <v>135405</v>
      </c>
      <c r="R17" s="20">
        <f t="shared" ca="1" si="2"/>
        <v>84.391996284688659</v>
      </c>
      <c r="S17" s="20">
        <f t="shared" ca="1" si="3"/>
        <v>168.39199628468867</v>
      </c>
      <c r="T17" s="49">
        <f t="shared" ca="1" si="4"/>
        <v>13</v>
      </c>
      <c r="U17" s="51" t="str">
        <f t="shared" ca="1" si="5"/>
        <v>OK</v>
      </c>
      <c r="X17">
        <v>6</v>
      </c>
      <c r="Y17">
        <v>0</v>
      </c>
    </row>
    <row r="18" spans="1:25" ht="20.25" thickTop="1" thickBot="1" x14ac:dyDescent="0.45">
      <c r="A18" s="22" t="s">
        <v>225</v>
      </c>
      <c r="B18" s="59" t="s">
        <v>262</v>
      </c>
      <c r="C18" s="26">
        <v>0</v>
      </c>
      <c r="D18" s="26" t="s">
        <v>157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38">
        <f t="shared" si="0"/>
        <v>0</v>
      </c>
      <c r="M18" s="27">
        <v>5</v>
      </c>
      <c r="N18" s="27">
        <v>6</v>
      </c>
      <c r="O18" s="27">
        <v>4</v>
      </c>
      <c r="P18" s="27">
        <f t="shared" si="6"/>
        <v>84</v>
      </c>
      <c r="Q18" s="21">
        <f t="shared" ca="1" si="1"/>
        <v>135405</v>
      </c>
      <c r="R18" s="20">
        <f t="shared" ca="1" si="2"/>
        <v>84.401841362909764</v>
      </c>
      <c r="S18" s="20">
        <f t="shared" ca="1" si="3"/>
        <v>168.40184136290975</v>
      </c>
      <c r="T18" s="49">
        <f t="shared" ca="1" si="4"/>
        <v>12</v>
      </c>
      <c r="U18" s="51" t="str">
        <f t="shared" ca="1" si="5"/>
        <v>OK</v>
      </c>
      <c r="X18">
        <v>7</v>
      </c>
      <c r="Y18">
        <v>0</v>
      </c>
    </row>
    <row r="19" spans="1:25" ht="20.25" thickTop="1" thickBot="1" x14ac:dyDescent="0.45">
      <c r="A19" s="22" t="s">
        <v>273</v>
      </c>
      <c r="B19" s="59" t="s">
        <v>275</v>
      </c>
      <c r="C19" s="26" t="s">
        <v>157</v>
      </c>
      <c r="D19" s="26" t="s">
        <v>157</v>
      </c>
      <c r="E19" s="26" t="s">
        <v>188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38">
        <f t="shared" si="0"/>
        <v>0</v>
      </c>
      <c r="M19" s="27">
        <v>6</v>
      </c>
      <c r="N19" s="27">
        <v>6</v>
      </c>
      <c r="O19" s="27">
        <v>4</v>
      </c>
      <c r="P19" s="27">
        <f t="shared" si="6"/>
        <v>85</v>
      </c>
      <c r="Q19" s="21">
        <f t="shared" ca="1" si="1"/>
        <v>111510</v>
      </c>
      <c r="R19" s="20">
        <f t="shared" ca="1" si="2"/>
        <v>87.752171045209607</v>
      </c>
      <c r="S19" s="20">
        <f t="shared" ca="1" si="3"/>
        <v>172.75217104520959</v>
      </c>
      <c r="T19" s="49">
        <f ca="1">RANK(S19,$S$4:$S$22,0)</f>
        <v>11</v>
      </c>
      <c r="U19" s="51" t="str">
        <f t="shared" ca="1" si="5"/>
        <v>OK</v>
      </c>
      <c r="X19">
        <v>8</v>
      </c>
      <c r="Y19">
        <v>0</v>
      </c>
    </row>
    <row r="20" spans="1:25" ht="20.25" thickTop="1" thickBot="1" x14ac:dyDescent="0.45">
      <c r="A20" s="22" t="s">
        <v>229</v>
      </c>
      <c r="B20" s="59" t="s">
        <v>261</v>
      </c>
      <c r="C20" s="26" t="s">
        <v>157</v>
      </c>
      <c r="D20" s="26" t="s">
        <v>157</v>
      </c>
      <c r="E20" s="26" t="s">
        <v>157</v>
      </c>
      <c r="F20" s="26">
        <v>0</v>
      </c>
      <c r="G20" s="26" t="s">
        <v>157</v>
      </c>
      <c r="H20" s="26" t="s">
        <v>157</v>
      </c>
      <c r="I20" s="26" t="s">
        <v>157</v>
      </c>
      <c r="J20" s="26">
        <v>0</v>
      </c>
      <c r="K20" s="26" t="s">
        <v>157</v>
      </c>
      <c r="L20" s="38">
        <f t="shared" si="0"/>
        <v>0</v>
      </c>
      <c r="M20" s="27">
        <v>4</v>
      </c>
      <c r="N20" s="27">
        <v>7</v>
      </c>
      <c r="O20" s="27">
        <v>5</v>
      </c>
      <c r="P20" s="27">
        <f t="shared" si="6"/>
        <v>85</v>
      </c>
      <c r="Q20" s="21">
        <f t="shared" ca="1" si="1"/>
        <v>129033</v>
      </c>
      <c r="R20" s="20">
        <f t="shared" ca="1" si="2"/>
        <v>88.780401065672208</v>
      </c>
      <c r="S20" s="20">
        <f t="shared" ca="1" si="3"/>
        <v>173.78040106567221</v>
      </c>
      <c r="T20" s="49">
        <f t="shared" ca="1" si="4"/>
        <v>10</v>
      </c>
      <c r="U20" s="51" t="str">
        <f t="shared" ca="1" si="5"/>
        <v>DNF</v>
      </c>
      <c r="X20">
        <v>9</v>
      </c>
      <c r="Y20">
        <v>0</v>
      </c>
    </row>
    <row r="21" spans="1:25" ht="20.25" thickTop="1" thickBot="1" x14ac:dyDescent="0.45">
      <c r="A21" s="22" t="s">
        <v>256</v>
      </c>
      <c r="B21" s="59" t="s">
        <v>261</v>
      </c>
      <c r="C21" s="26">
        <v>0</v>
      </c>
      <c r="D21" s="26" t="s">
        <v>157</v>
      </c>
      <c r="E21" s="26" t="s">
        <v>157</v>
      </c>
      <c r="F21" s="26" t="s">
        <v>157</v>
      </c>
      <c r="G21" s="26" t="s">
        <v>157</v>
      </c>
      <c r="H21" s="26">
        <v>0</v>
      </c>
      <c r="I21" s="26" t="s">
        <v>157</v>
      </c>
      <c r="J21" s="26">
        <v>0</v>
      </c>
      <c r="K21" s="26">
        <v>0</v>
      </c>
      <c r="L21" s="38">
        <f t="shared" si="0"/>
        <v>0</v>
      </c>
      <c r="M21" s="27">
        <v>4</v>
      </c>
      <c r="N21" s="27">
        <v>4</v>
      </c>
      <c r="O21" s="27">
        <v>4</v>
      </c>
      <c r="P21" s="27">
        <f t="shared" si="6"/>
        <v>81</v>
      </c>
      <c r="Q21" s="21">
        <f t="shared" ca="1" si="1"/>
        <v>111510</v>
      </c>
      <c r="R21" s="20">
        <f t="shared" ca="1" si="2"/>
        <v>81.702194991729357</v>
      </c>
      <c r="S21" s="20">
        <f t="shared" ca="1" si="3"/>
        <v>162.70219499172936</v>
      </c>
      <c r="T21" s="49">
        <f t="shared" ca="1" si="4"/>
        <v>14</v>
      </c>
      <c r="U21" s="51" t="str">
        <f t="shared" ca="1" si="5"/>
        <v>DNF</v>
      </c>
      <c r="X21">
        <v>10</v>
      </c>
      <c r="Y21">
        <v>0</v>
      </c>
    </row>
    <row r="22" spans="1:25" ht="19.5" thickTop="1" x14ac:dyDescent="0.4">
      <c r="A22" s="22" t="s">
        <v>207</v>
      </c>
      <c r="B22" s="59" t="s">
        <v>261</v>
      </c>
      <c r="C22" s="26">
        <v>0</v>
      </c>
      <c r="D22" s="26" t="s">
        <v>157</v>
      </c>
      <c r="E22" s="26">
        <v>0</v>
      </c>
      <c r="F22" s="26">
        <v>0</v>
      </c>
      <c r="G22" s="26" t="s">
        <v>157</v>
      </c>
      <c r="H22" s="26">
        <v>0</v>
      </c>
      <c r="I22" s="26" t="s">
        <v>157</v>
      </c>
      <c r="J22" s="26" t="s">
        <v>157</v>
      </c>
      <c r="K22" s="26" t="s">
        <v>157</v>
      </c>
      <c r="L22" s="38">
        <f t="shared" si="0"/>
        <v>0</v>
      </c>
      <c r="M22" s="27">
        <v>5</v>
      </c>
      <c r="N22" s="27">
        <v>5</v>
      </c>
      <c r="O22" s="27">
        <v>9</v>
      </c>
      <c r="P22" s="27">
        <f t="shared" si="6"/>
        <v>88</v>
      </c>
      <c r="Q22" s="21">
        <f t="shared" ca="1" si="1"/>
        <v>140184</v>
      </c>
      <c r="R22" s="20">
        <f t="shared" ca="1" si="2"/>
        <v>92.033950130600687</v>
      </c>
      <c r="S22" s="20">
        <f t="shared" ca="1" si="3"/>
        <v>180.03395013060069</v>
      </c>
      <c r="T22" s="49">
        <f t="shared" ca="1" si="4"/>
        <v>8</v>
      </c>
      <c r="U22" s="51" t="str">
        <f t="shared" ca="1" si="5"/>
        <v>DNF</v>
      </c>
    </row>
    <row r="23" spans="1:25" x14ac:dyDescent="0.25">
      <c r="P23">
        <f ca="1">SUM(P4:P23)</f>
        <v>1593</v>
      </c>
    </row>
    <row r="25" spans="1:25" ht="18.75" x14ac:dyDescent="0.4">
      <c r="A25" s="5"/>
      <c r="B25" s="39"/>
    </row>
    <row r="26" spans="1:25" ht="18.75" x14ac:dyDescent="0.4">
      <c r="A26" s="61" t="s">
        <v>266</v>
      </c>
      <c r="B26" s="62">
        <f>SUMIF(B4:B22,A26,$L$4:$L$22)</f>
        <v>81</v>
      </c>
    </row>
    <row r="27" spans="1:25" ht="18.75" x14ac:dyDescent="0.4">
      <c r="A27" s="57" t="s">
        <v>261</v>
      </c>
      <c r="B27" s="62">
        <f>SUMIF(B4:B22,A27,$L$4:$L$22)</f>
        <v>56</v>
      </c>
    </row>
    <row r="28" spans="1:25" ht="18.75" x14ac:dyDescent="0.4">
      <c r="A28" s="57" t="s">
        <v>262</v>
      </c>
      <c r="B28" s="62">
        <f>SUMIF(B4:B22,A28,$L$4:$L$22)</f>
        <v>51</v>
      </c>
    </row>
    <row r="29" spans="1:25" ht="18.75" x14ac:dyDescent="0.4">
      <c r="A29" s="57" t="s">
        <v>275</v>
      </c>
      <c r="B29" s="62">
        <f>SUMIF(B4:B22,A29,$L$4:$L$22)</f>
        <v>0</v>
      </c>
    </row>
  </sheetData>
  <sortState xmlns:xlrd2="http://schemas.microsoft.com/office/spreadsheetml/2017/richdata2" ref="A4:P22">
    <sortCondition descending="1" ref="L4:L22"/>
  </sortState>
  <conditionalFormatting sqref="C13:D13">
    <cfRule type="containsText" dxfId="45" priority="5" operator="containsText" text="DNF">
      <formula>NOT(ISERROR(SEARCH("DNF",C13)))</formula>
    </cfRule>
  </conditionalFormatting>
  <conditionalFormatting sqref="C4:K12">
    <cfRule type="containsText" dxfId="44" priority="1" operator="containsText" text="DNF">
      <formula>NOT(ISERROR(SEARCH("DNF",C4)))</formula>
    </cfRule>
  </conditionalFormatting>
  <conditionalFormatting sqref="E13:K15 C14:K22">
    <cfRule type="containsText" dxfId="43" priority="6" operator="containsText" text="DNF">
      <formula>NOT(ISERROR(SEARCH("DNF",C13)))</formula>
    </cfRule>
  </conditionalFormatting>
  <conditionalFormatting sqref="T3:T22">
    <cfRule type="cellIs" dxfId="42" priority="7" operator="lessThan">
      <formula>6</formula>
    </cfRule>
  </conditionalFormatting>
  <conditionalFormatting sqref="T4:T22">
    <cfRule type="cellIs" dxfId="41" priority="9" operator="equal">
      <formula>1</formula>
    </cfRule>
  </conditionalFormatting>
  <conditionalFormatting sqref="U4:U22">
    <cfRule type="containsText" dxfId="40" priority="8" operator="containsText" text="DNF">
      <formula>NOT(ISERROR(SEARCH("DNF",U4)))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2"/>
  <dimension ref="A1:AA34"/>
  <sheetViews>
    <sheetView zoomScale="80" zoomScaleNormal="8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9" customWidth="1"/>
    <col min="2" max="2" width="16.42578125" customWidth="1"/>
    <col min="3" max="20" width="16" customWidth="1"/>
  </cols>
  <sheetData>
    <row r="1" spans="1:27" ht="21" x14ac:dyDescent="0.35">
      <c r="A1" s="1" t="s">
        <v>64</v>
      </c>
    </row>
    <row r="3" spans="1:27" ht="15.75" thickBot="1" x14ac:dyDescent="0.3">
      <c r="A3" s="7" t="s">
        <v>6</v>
      </c>
      <c r="B3" s="16" t="s">
        <v>7</v>
      </c>
      <c r="C3" s="16" t="s">
        <v>196</v>
      </c>
      <c r="D3" s="16" t="s">
        <v>140</v>
      </c>
      <c r="E3" s="16" t="s">
        <v>141</v>
      </c>
      <c r="F3" s="16" t="s">
        <v>197</v>
      </c>
      <c r="G3" s="16" t="s">
        <v>143</v>
      </c>
      <c r="H3" s="16" t="s">
        <v>144</v>
      </c>
      <c r="I3" s="16" t="s">
        <v>139</v>
      </c>
      <c r="J3" s="16" t="s">
        <v>250</v>
      </c>
      <c r="K3" s="16" t="s">
        <v>145</v>
      </c>
      <c r="L3" s="16" t="s">
        <v>279</v>
      </c>
      <c r="M3" s="16" t="s">
        <v>18</v>
      </c>
      <c r="N3" s="17" t="s">
        <v>276</v>
      </c>
      <c r="O3" s="17" t="s">
        <v>277</v>
      </c>
      <c r="P3" s="17" t="s">
        <v>278</v>
      </c>
      <c r="Q3" s="17" t="s">
        <v>19</v>
      </c>
      <c r="R3" s="17" t="s">
        <v>158</v>
      </c>
      <c r="S3" s="16" t="s">
        <v>20</v>
      </c>
      <c r="T3" s="16" t="s">
        <v>21</v>
      </c>
      <c r="U3" s="16" t="s">
        <v>22</v>
      </c>
      <c r="V3" s="50" t="s">
        <v>187</v>
      </c>
    </row>
    <row r="4" spans="1:27" ht="20.25" thickTop="1" thickBot="1" x14ac:dyDescent="0.45">
      <c r="A4" s="22" t="s">
        <v>246</v>
      </c>
      <c r="B4" s="22" t="s">
        <v>266</v>
      </c>
      <c r="C4" s="29">
        <v>8</v>
      </c>
      <c r="D4" s="26">
        <v>7</v>
      </c>
      <c r="E4" s="40" t="s">
        <v>157</v>
      </c>
      <c r="F4" s="29">
        <v>9</v>
      </c>
      <c r="G4" s="26" t="s">
        <v>188</v>
      </c>
      <c r="H4" s="29">
        <v>8</v>
      </c>
      <c r="I4" s="29">
        <v>9</v>
      </c>
      <c r="J4" s="26">
        <v>7</v>
      </c>
      <c r="K4" s="40" t="s">
        <v>157</v>
      </c>
      <c r="L4" s="29">
        <v>9</v>
      </c>
      <c r="M4" s="38">
        <f t="shared" ref="M4:M23" si="0">SUM(C4:L4)</f>
        <v>57</v>
      </c>
      <c r="N4" s="27">
        <v>10</v>
      </c>
      <c r="O4" s="27">
        <v>8</v>
      </c>
      <c r="P4" s="27">
        <v>10</v>
      </c>
      <c r="Q4" s="27">
        <f t="shared" ref="Q4:Q23" si="1">N4+O4+P4+69</f>
        <v>97</v>
      </c>
      <c r="R4" s="21">
        <f>Q4*$Q$24</f>
        <v>169265</v>
      </c>
      <c r="S4" s="20">
        <f ca="1">Q4+RAND()*6</f>
        <v>102.05589398873214</v>
      </c>
      <c r="T4" s="20">
        <f ca="1">Q4+S4</f>
        <v>199.05589398873212</v>
      </c>
      <c r="U4" s="49">
        <f ca="1">RANK(T4,$T$4:$T$23,0)</f>
        <v>1</v>
      </c>
      <c r="V4" s="51" t="str">
        <f ca="1">IF(RAND()&lt;0.2-(O4)/50,"DNF","OK")</f>
        <v>OK</v>
      </c>
    </row>
    <row r="5" spans="1:27" ht="20.25" thickTop="1" thickBot="1" x14ac:dyDescent="0.45">
      <c r="A5" s="22" t="s">
        <v>257</v>
      </c>
      <c r="B5" s="22" t="s">
        <v>266</v>
      </c>
      <c r="C5" s="26">
        <v>7</v>
      </c>
      <c r="D5" s="29">
        <v>8</v>
      </c>
      <c r="E5" s="40" t="s">
        <v>157</v>
      </c>
      <c r="F5" s="26">
        <v>6</v>
      </c>
      <c r="G5" s="29">
        <v>9</v>
      </c>
      <c r="H5" s="26">
        <v>7</v>
      </c>
      <c r="I5" s="26">
        <v>6</v>
      </c>
      <c r="J5" s="29">
        <v>8</v>
      </c>
      <c r="K5" s="40" t="s">
        <v>157</v>
      </c>
      <c r="L5" s="26">
        <v>3</v>
      </c>
      <c r="M5" s="38">
        <f t="shared" si="0"/>
        <v>54</v>
      </c>
      <c r="N5" s="27">
        <v>9</v>
      </c>
      <c r="O5" s="27">
        <v>8</v>
      </c>
      <c r="P5" s="27">
        <v>9</v>
      </c>
      <c r="Q5" s="27">
        <f t="shared" si="1"/>
        <v>95</v>
      </c>
      <c r="R5" s="21">
        <f t="shared" ref="R5:R23" si="2">Q5*$Q$24</f>
        <v>165775</v>
      </c>
      <c r="S5" s="20">
        <f t="shared" ref="S5:S23" ca="1" si="3">Q5+RAND()*6</f>
        <v>100.08348428176546</v>
      </c>
      <c r="T5" s="20">
        <f t="shared" ref="T5:T23" ca="1" si="4">Q5+S5</f>
        <v>195.08348428176546</v>
      </c>
      <c r="U5" s="49">
        <f t="shared" ref="U5:U23" ca="1" si="5">RANK(T5,$T$4:$T$23,0)</f>
        <v>2</v>
      </c>
      <c r="V5" s="51" t="str">
        <f ca="1">IF(RAND()&lt;0.2-(O5)/50,"DNF","OK")</f>
        <v>OK</v>
      </c>
    </row>
    <row r="6" spans="1:27" ht="20.25" thickTop="1" thickBot="1" x14ac:dyDescent="0.45">
      <c r="A6" s="22" t="s">
        <v>252</v>
      </c>
      <c r="B6" s="22" t="s">
        <v>261</v>
      </c>
      <c r="C6" s="26">
        <v>4</v>
      </c>
      <c r="D6" s="26">
        <v>3</v>
      </c>
      <c r="E6" s="40" t="s">
        <v>157</v>
      </c>
      <c r="F6" s="26">
        <v>4</v>
      </c>
      <c r="G6" s="26">
        <v>4</v>
      </c>
      <c r="H6" s="26">
        <v>4</v>
      </c>
      <c r="I6" s="26">
        <v>4</v>
      </c>
      <c r="J6" s="26">
        <v>3</v>
      </c>
      <c r="K6" s="29">
        <v>9</v>
      </c>
      <c r="L6" s="26">
        <v>6</v>
      </c>
      <c r="M6" s="38">
        <f t="shared" si="0"/>
        <v>41</v>
      </c>
      <c r="N6" s="27">
        <v>8</v>
      </c>
      <c r="O6" s="27">
        <v>7</v>
      </c>
      <c r="P6" s="27">
        <v>10</v>
      </c>
      <c r="Q6" s="27">
        <f t="shared" si="1"/>
        <v>94</v>
      </c>
      <c r="R6" s="21">
        <f t="shared" si="2"/>
        <v>164030</v>
      </c>
      <c r="S6" s="20">
        <f t="shared" ca="1" si="3"/>
        <v>99.565726976062848</v>
      </c>
      <c r="T6" s="20">
        <f t="shared" ca="1" si="4"/>
        <v>193.56572697606285</v>
      </c>
      <c r="U6" s="49">
        <f t="shared" ca="1" si="5"/>
        <v>3</v>
      </c>
      <c r="V6" s="51" t="str">
        <f t="shared" ref="V6:V23" ca="1" si="6">IF(RAND()&lt;0.2-(O6)/50,"DNF","OK")</f>
        <v>OK</v>
      </c>
    </row>
    <row r="7" spans="1:27" ht="20.25" thickTop="1" thickBot="1" x14ac:dyDescent="0.45">
      <c r="A7" s="22" t="s">
        <v>195</v>
      </c>
      <c r="B7" s="22" t="s">
        <v>275</v>
      </c>
      <c r="C7" s="26">
        <v>3</v>
      </c>
      <c r="D7" s="26">
        <v>4</v>
      </c>
      <c r="E7" s="40" t="s">
        <v>157</v>
      </c>
      <c r="F7" s="26">
        <v>2</v>
      </c>
      <c r="G7" s="26">
        <v>6</v>
      </c>
      <c r="H7" s="40" t="s">
        <v>157</v>
      </c>
      <c r="I7" s="40" t="s">
        <v>157</v>
      </c>
      <c r="J7" s="26">
        <v>4</v>
      </c>
      <c r="K7" s="40" t="s">
        <v>157</v>
      </c>
      <c r="L7" s="26">
        <v>2</v>
      </c>
      <c r="M7" s="38">
        <f t="shared" si="0"/>
        <v>21</v>
      </c>
      <c r="N7" s="27">
        <v>9</v>
      </c>
      <c r="O7" s="27">
        <v>7</v>
      </c>
      <c r="P7" s="27">
        <v>9</v>
      </c>
      <c r="Q7" s="27">
        <f t="shared" si="1"/>
        <v>94</v>
      </c>
      <c r="R7" s="21">
        <f t="shared" si="2"/>
        <v>164030</v>
      </c>
      <c r="S7" s="20">
        <f t="shared" ca="1" si="3"/>
        <v>95.184599461272697</v>
      </c>
      <c r="T7" s="20">
        <f t="shared" ca="1" si="4"/>
        <v>189.18459946127268</v>
      </c>
      <c r="U7" s="49">
        <f t="shared" ca="1" si="5"/>
        <v>5</v>
      </c>
      <c r="V7" s="51" t="str">
        <f t="shared" ca="1" si="6"/>
        <v>DNF</v>
      </c>
    </row>
    <row r="8" spans="1:27" ht="20.25" thickTop="1" thickBot="1" x14ac:dyDescent="0.45">
      <c r="A8" s="22" t="s">
        <v>281</v>
      </c>
      <c r="B8" s="22" t="s">
        <v>275</v>
      </c>
      <c r="C8" s="40" t="s">
        <v>157</v>
      </c>
      <c r="D8" s="40" t="s">
        <v>157</v>
      </c>
      <c r="E8" s="40" t="s">
        <v>157</v>
      </c>
      <c r="F8" s="26">
        <v>3</v>
      </c>
      <c r="G8" s="26">
        <v>3</v>
      </c>
      <c r="H8" s="26">
        <v>2</v>
      </c>
      <c r="I8" s="26">
        <v>3</v>
      </c>
      <c r="J8" s="26">
        <v>2</v>
      </c>
      <c r="K8" s="40" t="s">
        <v>157</v>
      </c>
      <c r="L8" s="26">
        <v>4</v>
      </c>
      <c r="M8" s="38">
        <f t="shared" si="0"/>
        <v>17</v>
      </c>
      <c r="N8" s="27">
        <v>7</v>
      </c>
      <c r="O8" s="27">
        <v>7</v>
      </c>
      <c r="P8" s="27">
        <v>10</v>
      </c>
      <c r="Q8" s="27">
        <f t="shared" si="1"/>
        <v>93</v>
      </c>
      <c r="R8" s="21">
        <f t="shared" si="2"/>
        <v>162285</v>
      </c>
      <c r="S8" s="20">
        <f t="shared" ca="1" si="3"/>
        <v>97.924958122686093</v>
      </c>
      <c r="T8" s="20">
        <f t="shared" ca="1" si="4"/>
        <v>190.92495812268609</v>
      </c>
      <c r="U8" s="49">
        <f t="shared" ca="1" si="5"/>
        <v>4</v>
      </c>
      <c r="V8" s="51" t="str">
        <f t="shared" ca="1" si="6"/>
        <v>OK</v>
      </c>
    </row>
    <row r="9" spans="1:27" ht="20.25" thickTop="1" thickBot="1" x14ac:dyDescent="0.45">
      <c r="A9" s="22" t="s">
        <v>273</v>
      </c>
      <c r="B9" s="22" t="s">
        <v>275</v>
      </c>
      <c r="C9" s="26">
        <v>0</v>
      </c>
      <c r="D9" s="26">
        <v>2</v>
      </c>
      <c r="E9" s="40" t="s">
        <v>157</v>
      </c>
      <c r="F9" s="26">
        <v>0</v>
      </c>
      <c r="G9" s="26">
        <v>2</v>
      </c>
      <c r="H9" s="26">
        <v>3</v>
      </c>
      <c r="I9" s="26">
        <v>2</v>
      </c>
      <c r="J9" s="26">
        <v>0</v>
      </c>
      <c r="K9" s="40" t="s">
        <v>157</v>
      </c>
      <c r="L9" s="26">
        <v>0</v>
      </c>
      <c r="M9" s="38">
        <f t="shared" si="0"/>
        <v>9</v>
      </c>
      <c r="N9" s="27">
        <v>8</v>
      </c>
      <c r="O9" s="27">
        <v>7</v>
      </c>
      <c r="P9" s="27">
        <v>7</v>
      </c>
      <c r="Q9" s="27">
        <f t="shared" si="1"/>
        <v>91</v>
      </c>
      <c r="R9" s="21">
        <f t="shared" si="2"/>
        <v>158795</v>
      </c>
      <c r="S9" s="20">
        <f t="shared" ca="1" si="3"/>
        <v>94.964502209456739</v>
      </c>
      <c r="T9" s="20">
        <f t="shared" ca="1" si="4"/>
        <v>185.96450220945673</v>
      </c>
      <c r="U9" s="49">
        <f t="shared" ca="1" si="5"/>
        <v>6</v>
      </c>
      <c r="V9" s="51" t="str">
        <f t="shared" ca="1" si="6"/>
        <v>OK</v>
      </c>
    </row>
    <row r="10" spans="1:27" ht="20.25" thickTop="1" thickBot="1" x14ac:dyDescent="0.45">
      <c r="A10" s="22" t="s">
        <v>176</v>
      </c>
      <c r="B10" s="22"/>
      <c r="C10" s="40" t="s">
        <v>157</v>
      </c>
      <c r="D10" s="40" t="s">
        <v>157</v>
      </c>
      <c r="E10" s="29">
        <v>8</v>
      </c>
      <c r="F10" s="40" t="s">
        <v>157</v>
      </c>
      <c r="G10" s="40" t="s">
        <v>157</v>
      </c>
      <c r="H10" s="40" t="s">
        <v>157</v>
      </c>
      <c r="I10" s="40" t="s">
        <v>157</v>
      </c>
      <c r="J10" s="40" t="s">
        <v>157</v>
      </c>
      <c r="K10" s="40" t="s">
        <v>157</v>
      </c>
      <c r="L10" s="40" t="s">
        <v>157</v>
      </c>
      <c r="M10" s="38">
        <f t="shared" si="0"/>
        <v>8</v>
      </c>
      <c r="N10" s="27">
        <v>0</v>
      </c>
      <c r="O10" s="27">
        <v>0</v>
      </c>
      <c r="P10" s="27">
        <v>0</v>
      </c>
      <c r="Q10" s="27">
        <f t="shared" si="1"/>
        <v>69</v>
      </c>
      <c r="R10" s="21">
        <f t="shared" si="2"/>
        <v>120405</v>
      </c>
      <c r="S10" s="20">
        <f t="shared" ca="1" si="3"/>
        <v>71.891056285092247</v>
      </c>
      <c r="T10" s="20">
        <f t="shared" ca="1" si="4"/>
        <v>140.89105628509225</v>
      </c>
      <c r="U10" s="49">
        <f t="shared" ca="1" si="5"/>
        <v>18</v>
      </c>
      <c r="V10" s="51" t="str">
        <f t="shared" ca="1" si="6"/>
        <v>OK</v>
      </c>
    </row>
    <row r="11" spans="1:27" ht="20.25" thickTop="1" thickBot="1" x14ac:dyDescent="0.45">
      <c r="A11" s="22" t="s">
        <v>272</v>
      </c>
      <c r="B11" s="22"/>
      <c r="C11" s="40" t="s">
        <v>157</v>
      </c>
      <c r="D11" s="40" t="s">
        <v>157</v>
      </c>
      <c r="E11" s="26">
        <v>6</v>
      </c>
      <c r="F11" s="40" t="s">
        <v>157</v>
      </c>
      <c r="G11" s="40" t="s">
        <v>157</v>
      </c>
      <c r="H11" s="40" t="s">
        <v>157</v>
      </c>
      <c r="I11" s="40" t="s">
        <v>157</v>
      </c>
      <c r="J11" s="40" t="s">
        <v>157</v>
      </c>
      <c r="K11" s="40" t="s">
        <v>157</v>
      </c>
      <c r="L11" s="40" t="s">
        <v>157</v>
      </c>
      <c r="M11" s="38">
        <f t="shared" si="0"/>
        <v>6</v>
      </c>
      <c r="N11" s="27">
        <v>0</v>
      </c>
      <c r="O11" s="27">
        <v>0</v>
      </c>
      <c r="P11" s="27">
        <v>0</v>
      </c>
      <c r="Q11" s="27">
        <f t="shared" si="1"/>
        <v>69</v>
      </c>
      <c r="R11" s="21">
        <f t="shared" si="2"/>
        <v>120405</v>
      </c>
      <c r="S11" s="20">
        <f t="shared" ca="1" si="3"/>
        <v>71.259490597416232</v>
      </c>
      <c r="T11" s="20">
        <f t="shared" ca="1" si="4"/>
        <v>140.25949059741623</v>
      </c>
      <c r="U11" s="49">
        <f t="shared" ca="1" si="5"/>
        <v>19</v>
      </c>
      <c r="V11" s="51" t="str">
        <f t="shared" ca="1" si="6"/>
        <v>OK</v>
      </c>
    </row>
    <row r="12" spans="1:27" ht="20.25" thickTop="1" thickBot="1" x14ac:dyDescent="0.45">
      <c r="A12" s="22" t="s">
        <v>243</v>
      </c>
      <c r="B12" s="22" t="s">
        <v>261</v>
      </c>
      <c r="C12" s="26">
        <v>2</v>
      </c>
      <c r="D12" s="26">
        <v>0</v>
      </c>
      <c r="E12" s="40" t="s">
        <v>157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4</v>
      </c>
      <c r="L12" s="26">
        <v>0</v>
      </c>
      <c r="M12" s="38">
        <f t="shared" si="0"/>
        <v>6</v>
      </c>
      <c r="N12" s="27">
        <v>6</v>
      </c>
      <c r="O12" s="27">
        <v>7</v>
      </c>
      <c r="P12" s="27">
        <v>8</v>
      </c>
      <c r="Q12" s="27">
        <f t="shared" si="1"/>
        <v>90</v>
      </c>
      <c r="R12" s="21">
        <f t="shared" si="2"/>
        <v>157050</v>
      </c>
      <c r="S12" s="20">
        <f t="shared" ca="1" si="3"/>
        <v>90.745853498984062</v>
      </c>
      <c r="T12" s="20">
        <f t="shared" ca="1" si="4"/>
        <v>180.74585349898405</v>
      </c>
      <c r="U12" s="49">
        <f t="shared" ca="1" si="5"/>
        <v>12</v>
      </c>
      <c r="V12" s="51" t="str">
        <f t="shared" ca="1" si="6"/>
        <v>OK</v>
      </c>
    </row>
    <row r="13" spans="1:27" ht="20.25" thickTop="1" thickBot="1" x14ac:dyDescent="0.45">
      <c r="A13" s="22" t="s">
        <v>280</v>
      </c>
      <c r="B13" s="22" t="s">
        <v>261</v>
      </c>
      <c r="C13" s="40" t="s">
        <v>157</v>
      </c>
      <c r="D13" s="26">
        <v>0</v>
      </c>
      <c r="E13" s="40" t="s">
        <v>157</v>
      </c>
      <c r="F13" s="26">
        <v>0</v>
      </c>
      <c r="G13" s="40" t="s">
        <v>157</v>
      </c>
      <c r="H13" s="26">
        <v>0</v>
      </c>
      <c r="I13" s="40" t="s">
        <v>157</v>
      </c>
      <c r="J13" s="40" t="s">
        <v>157</v>
      </c>
      <c r="K13" s="26">
        <v>6</v>
      </c>
      <c r="L13" s="40" t="s">
        <v>157</v>
      </c>
      <c r="M13" s="38">
        <f t="shared" si="0"/>
        <v>6</v>
      </c>
      <c r="N13" s="27">
        <v>7</v>
      </c>
      <c r="O13" s="27">
        <v>9</v>
      </c>
      <c r="P13" s="27">
        <v>6</v>
      </c>
      <c r="Q13" s="27">
        <f t="shared" si="1"/>
        <v>91</v>
      </c>
      <c r="R13" s="21">
        <f t="shared" si="2"/>
        <v>158795</v>
      </c>
      <c r="S13" s="20">
        <f ca="1">Q13+RAND()*6</f>
        <v>93.074845066168507</v>
      </c>
      <c r="T13" s="20">
        <f t="shared" ca="1" si="4"/>
        <v>184.07484506616851</v>
      </c>
      <c r="U13" s="49">
        <f t="shared" ca="1" si="5"/>
        <v>7</v>
      </c>
      <c r="V13" s="51" t="str">
        <f t="shared" ca="1" si="6"/>
        <v>OK</v>
      </c>
      <c r="Z13">
        <v>1</v>
      </c>
      <c r="AA13">
        <v>8</v>
      </c>
    </row>
    <row r="14" spans="1:27" ht="20.25" thickTop="1" thickBot="1" x14ac:dyDescent="0.45">
      <c r="A14" s="22" t="s">
        <v>274</v>
      </c>
      <c r="B14" s="22"/>
      <c r="C14" s="40" t="s">
        <v>157</v>
      </c>
      <c r="D14" s="40" t="s">
        <v>157</v>
      </c>
      <c r="E14" s="26">
        <v>4</v>
      </c>
      <c r="F14" s="40" t="s">
        <v>157</v>
      </c>
      <c r="G14" s="40" t="s">
        <v>157</v>
      </c>
      <c r="H14" s="40" t="s">
        <v>157</v>
      </c>
      <c r="I14" s="40" t="s">
        <v>157</v>
      </c>
      <c r="J14" s="40" t="s">
        <v>157</v>
      </c>
      <c r="K14" s="40" t="s">
        <v>157</v>
      </c>
      <c r="L14" s="40" t="s">
        <v>157</v>
      </c>
      <c r="M14" s="38">
        <f t="shared" si="0"/>
        <v>4</v>
      </c>
      <c r="N14" s="27">
        <v>0</v>
      </c>
      <c r="O14" s="27">
        <v>0</v>
      </c>
      <c r="P14" s="27">
        <v>0</v>
      </c>
      <c r="Q14" s="27">
        <f t="shared" si="1"/>
        <v>69</v>
      </c>
      <c r="R14" s="21">
        <f t="shared" si="2"/>
        <v>120405</v>
      </c>
      <c r="S14" s="20">
        <f t="shared" ca="1" si="3"/>
        <v>69.557361962836467</v>
      </c>
      <c r="T14" s="20">
        <f t="shared" ca="1" si="4"/>
        <v>138.55736196283647</v>
      </c>
      <c r="U14" s="49">
        <f t="shared" ca="1" si="5"/>
        <v>20</v>
      </c>
      <c r="V14" s="51" t="str">
        <f t="shared" ca="1" si="6"/>
        <v>OK</v>
      </c>
      <c r="Z14">
        <v>2</v>
      </c>
      <c r="AA14">
        <v>6</v>
      </c>
    </row>
    <row r="15" spans="1:27" ht="20.25" thickTop="1" thickBot="1" x14ac:dyDescent="0.45">
      <c r="A15" s="22" t="s">
        <v>283</v>
      </c>
      <c r="B15" s="22" t="s">
        <v>261</v>
      </c>
      <c r="C15" s="40" t="s">
        <v>157</v>
      </c>
      <c r="D15" s="40" t="s">
        <v>157</v>
      </c>
      <c r="E15" s="40" t="s">
        <v>157</v>
      </c>
      <c r="F15" s="40" t="s">
        <v>157</v>
      </c>
      <c r="G15" s="26">
        <v>0</v>
      </c>
      <c r="H15" s="26">
        <v>0</v>
      </c>
      <c r="I15" s="40" t="s">
        <v>157</v>
      </c>
      <c r="J15" s="40" t="s">
        <v>157</v>
      </c>
      <c r="K15" s="26">
        <v>3</v>
      </c>
      <c r="L15" s="40" t="s">
        <v>157</v>
      </c>
      <c r="M15" s="38">
        <f t="shared" si="0"/>
        <v>3</v>
      </c>
      <c r="N15" s="27">
        <v>6</v>
      </c>
      <c r="O15" s="27">
        <v>5</v>
      </c>
      <c r="P15" s="27">
        <v>6</v>
      </c>
      <c r="Q15" s="27">
        <f t="shared" si="1"/>
        <v>86</v>
      </c>
      <c r="R15" s="21">
        <f t="shared" si="2"/>
        <v>150070</v>
      </c>
      <c r="S15" s="20">
        <f t="shared" ca="1" si="3"/>
        <v>86.080070779314156</v>
      </c>
      <c r="T15" s="20">
        <f t="shared" ca="1" si="4"/>
        <v>172.08007077931416</v>
      </c>
      <c r="U15" s="49">
        <f t="shared" ca="1" si="5"/>
        <v>17</v>
      </c>
      <c r="V15" s="51" t="str">
        <f t="shared" ca="1" si="6"/>
        <v>OK</v>
      </c>
      <c r="Z15">
        <v>3</v>
      </c>
      <c r="AA15">
        <v>4</v>
      </c>
    </row>
    <row r="16" spans="1:27" ht="20.25" thickTop="1" thickBot="1" x14ac:dyDescent="0.45">
      <c r="A16" s="22" t="s">
        <v>258</v>
      </c>
      <c r="B16" s="22" t="s">
        <v>262</v>
      </c>
      <c r="C16" s="26">
        <v>0</v>
      </c>
      <c r="D16" s="26" t="s">
        <v>188</v>
      </c>
      <c r="E16" s="40" t="s">
        <v>157</v>
      </c>
      <c r="F16" s="26">
        <v>0</v>
      </c>
      <c r="G16" s="26">
        <v>0</v>
      </c>
      <c r="H16" s="26">
        <v>1</v>
      </c>
      <c r="I16" s="26">
        <v>0</v>
      </c>
      <c r="J16" s="26">
        <v>0</v>
      </c>
      <c r="K16" s="40" t="s">
        <v>157</v>
      </c>
      <c r="L16" s="26">
        <v>0</v>
      </c>
      <c r="M16" s="38">
        <f t="shared" si="0"/>
        <v>1</v>
      </c>
      <c r="N16" s="27">
        <v>7</v>
      </c>
      <c r="O16" s="27">
        <v>5</v>
      </c>
      <c r="P16" s="27">
        <v>9</v>
      </c>
      <c r="Q16" s="27">
        <f t="shared" si="1"/>
        <v>90</v>
      </c>
      <c r="R16" s="21">
        <f t="shared" si="2"/>
        <v>157050</v>
      </c>
      <c r="S16" s="20">
        <f t="shared" ca="1" si="3"/>
        <v>91.862497882604615</v>
      </c>
      <c r="T16" s="20">
        <f t="shared" ca="1" si="4"/>
        <v>181.8624978826046</v>
      </c>
      <c r="U16" s="49">
        <f t="shared" ca="1" si="5"/>
        <v>11</v>
      </c>
      <c r="V16" s="51" t="str">
        <f t="shared" ca="1" si="6"/>
        <v>OK</v>
      </c>
      <c r="Z16">
        <v>4</v>
      </c>
      <c r="AA16">
        <v>3</v>
      </c>
    </row>
    <row r="17" spans="1:27" ht="20.25" thickTop="1" thickBot="1" x14ac:dyDescent="0.45">
      <c r="A17" s="22" t="s">
        <v>229</v>
      </c>
      <c r="B17" s="22" t="s">
        <v>266</v>
      </c>
      <c r="C17" s="26">
        <v>0</v>
      </c>
      <c r="D17" s="40" t="s">
        <v>157</v>
      </c>
      <c r="E17" s="40" t="s">
        <v>157</v>
      </c>
      <c r="F17" s="40" t="s">
        <v>157</v>
      </c>
      <c r="G17" s="26">
        <v>0</v>
      </c>
      <c r="H17" s="26">
        <v>0</v>
      </c>
      <c r="I17" s="26">
        <v>0</v>
      </c>
      <c r="J17" s="26">
        <v>0</v>
      </c>
      <c r="K17" s="40" t="s">
        <v>157</v>
      </c>
      <c r="L17" s="26">
        <v>0</v>
      </c>
      <c r="M17" s="38">
        <f t="shared" si="0"/>
        <v>0</v>
      </c>
      <c r="N17" s="27">
        <v>7</v>
      </c>
      <c r="O17" s="27">
        <v>7</v>
      </c>
      <c r="P17" s="27">
        <v>7</v>
      </c>
      <c r="Q17" s="27">
        <f t="shared" si="1"/>
        <v>90</v>
      </c>
      <c r="R17" s="21">
        <f t="shared" si="2"/>
        <v>157050</v>
      </c>
      <c r="S17" s="20">
        <f t="shared" ca="1" si="3"/>
        <v>92.444819703574822</v>
      </c>
      <c r="T17" s="20">
        <f t="shared" ca="1" si="4"/>
        <v>182.44481970357481</v>
      </c>
      <c r="U17" s="49">
        <f t="shared" ca="1" si="5"/>
        <v>9</v>
      </c>
      <c r="V17" s="51" t="str">
        <f t="shared" ca="1" si="6"/>
        <v>OK</v>
      </c>
      <c r="Z17">
        <v>5</v>
      </c>
      <c r="AA17">
        <v>2</v>
      </c>
    </row>
    <row r="18" spans="1:27" ht="20.25" thickTop="1" thickBot="1" x14ac:dyDescent="0.45">
      <c r="A18" s="22" t="s">
        <v>240</v>
      </c>
      <c r="B18" s="22" t="s">
        <v>266</v>
      </c>
      <c r="C18" s="40" t="s">
        <v>157</v>
      </c>
      <c r="D18" s="26">
        <v>0</v>
      </c>
      <c r="E18" s="40" t="s">
        <v>157</v>
      </c>
      <c r="F18" s="26">
        <v>0</v>
      </c>
      <c r="G18" s="26" t="s">
        <v>188</v>
      </c>
      <c r="H18" s="26">
        <v>0</v>
      </c>
      <c r="I18" s="26">
        <v>0</v>
      </c>
      <c r="J18" s="26">
        <v>0</v>
      </c>
      <c r="K18" s="40" t="s">
        <v>157</v>
      </c>
      <c r="L18" s="26">
        <v>0</v>
      </c>
      <c r="M18" s="38">
        <f t="shared" si="0"/>
        <v>0</v>
      </c>
      <c r="N18" s="27">
        <v>7</v>
      </c>
      <c r="O18" s="27">
        <v>6</v>
      </c>
      <c r="P18" s="27">
        <v>8</v>
      </c>
      <c r="Q18" s="27">
        <f t="shared" si="1"/>
        <v>90</v>
      </c>
      <c r="R18" s="21">
        <f t="shared" si="2"/>
        <v>157050</v>
      </c>
      <c r="S18" s="20">
        <f t="shared" ca="1" si="3"/>
        <v>92.79742333937277</v>
      </c>
      <c r="T18" s="20">
        <f t="shared" ca="1" si="4"/>
        <v>182.79742333937276</v>
      </c>
      <c r="U18" s="49">
        <f t="shared" ca="1" si="5"/>
        <v>8</v>
      </c>
      <c r="V18" s="51" t="str">
        <f t="shared" ca="1" si="6"/>
        <v>OK</v>
      </c>
      <c r="Z18">
        <v>6</v>
      </c>
      <c r="AA18">
        <v>0</v>
      </c>
    </row>
    <row r="19" spans="1:27" ht="20.25" thickTop="1" thickBot="1" x14ac:dyDescent="0.45">
      <c r="A19" s="22" t="s">
        <v>256</v>
      </c>
      <c r="B19" s="22" t="s">
        <v>261</v>
      </c>
      <c r="C19" s="26">
        <v>0</v>
      </c>
      <c r="D19" s="26">
        <v>0</v>
      </c>
      <c r="E19" s="40" t="s">
        <v>157</v>
      </c>
      <c r="F19" s="40" t="s">
        <v>157</v>
      </c>
      <c r="G19" s="40" t="s">
        <v>157</v>
      </c>
      <c r="H19" s="40" t="s">
        <v>157</v>
      </c>
      <c r="I19" s="40" t="s">
        <v>157</v>
      </c>
      <c r="J19" s="40" t="s">
        <v>157</v>
      </c>
      <c r="K19" s="40" t="s">
        <v>157</v>
      </c>
      <c r="L19" s="40" t="s">
        <v>157</v>
      </c>
      <c r="M19" s="38">
        <f t="shared" si="0"/>
        <v>0</v>
      </c>
      <c r="N19" s="27">
        <v>7</v>
      </c>
      <c r="O19" s="27">
        <v>7</v>
      </c>
      <c r="P19" s="27">
        <v>5</v>
      </c>
      <c r="Q19" s="27">
        <f t="shared" si="1"/>
        <v>88</v>
      </c>
      <c r="R19" s="21">
        <f t="shared" si="2"/>
        <v>153560</v>
      </c>
      <c r="S19" s="20">
        <f t="shared" ca="1" si="3"/>
        <v>88.624839591451419</v>
      </c>
      <c r="T19" s="20">
        <f t="shared" ca="1" si="4"/>
        <v>176.6248395914514</v>
      </c>
      <c r="U19" s="49">
        <f t="shared" ca="1" si="5"/>
        <v>13</v>
      </c>
      <c r="V19" s="51" t="str">
        <f t="shared" ca="1" si="6"/>
        <v>OK</v>
      </c>
      <c r="Z19">
        <v>7</v>
      </c>
      <c r="AA19">
        <v>0</v>
      </c>
    </row>
    <row r="20" spans="1:27" ht="20.25" thickTop="1" thickBot="1" x14ac:dyDescent="0.45">
      <c r="A20" s="22" t="s">
        <v>282</v>
      </c>
      <c r="B20" s="22" t="s">
        <v>275</v>
      </c>
      <c r="C20" s="40" t="s">
        <v>157</v>
      </c>
      <c r="D20" s="26">
        <v>0</v>
      </c>
      <c r="E20" s="40" t="s">
        <v>157</v>
      </c>
      <c r="F20" s="40" t="s">
        <v>157</v>
      </c>
      <c r="G20" s="40" t="s">
        <v>157</v>
      </c>
      <c r="H20" s="40" t="s">
        <v>157</v>
      </c>
      <c r="I20" s="26">
        <v>0</v>
      </c>
      <c r="J20" s="26">
        <v>0</v>
      </c>
      <c r="K20" s="40" t="s">
        <v>157</v>
      </c>
      <c r="L20" s="26">
        <v>0</v>
      </c>
      <c r="M20" s="38">
        <f t="shared" si="0"/>
        <v>0</v>
      </c>
      <c r="N20" s="27">
        <v>6</v>
      </c>
      <c r="O20" s="27">
        <v>5</v>
      </c>
      <c r="P20" s="27">
        <v>9</v>
      </c>
      <c r="Q20" s="27">
        <f t="shared" si="1"/>
        <v>89</v>
      </c>
      <c r="R20" s="21">
        <f t="shared" si="2"/>
        <v>155305</v>
      </c>
      <c r="S20" s="20">
        <f t="shared" ca="1" si="3"/>
        <v>92.988330466525113</v>
      </c>
      <c r="T20" s="20">
        <f t="shared" ca="1" si="4"/>
        <v>181.9883304665251</v>
      </c>
      <c r="U20" s="49">
        <f t="shared" ca="1" si="5"/>
        <v>10</v>
      </c>
      <c r="V20" s="51" t="str">
        <f t="shared" ca="1" si="6"/>
        <v>OK</v>
      </c>
      <c r="Z20">
        <v>8</v>
      </c>
      <c r="AA20">
        <v>0</v>
      </c>
    </row>
    <row r="21" spans="1:27" ht="20.25" thickTop="1" thickBot="1" x14ac:dyDescent="0.45">
      <c r="A21" s="22" t="s">
        <v>247</v>
      </c>
      <c r="B21" s="22" t="s">
        <v>262</v>
      </c>
      <c r="C21" s="26">
        <v>0</v>
      </c>
      <c r="D21" s="26">
        <v>0</v>
      </c>
      <c r="E21" s="40" t="s">
        <v>157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40" t="s">
        <v>259</v>
      </c>
      <c r="L21" s="26" t="s">
        <v>188</v>
      </c>
      <c r="M21" s="38">
        <f t="shared" si="0"/>
        <v>0</v>
      </c>
      <c r="N21" s="27">
        <v>6</v>
      </c>
      <c r="O21" s="27">
        <v>4</v>
      </c>
      <c r="P21" s="27">
        <v>7</v>
      </c>
      <c r="Q21" s="27">
        <f t="shared" si="1"/>
        <v>86</v>
      </c>
      <c r="R21" s="21">
        <f t="shared" si="2"/>
        <v>150070</v>
      </c>
      <c r="S21" s="20">
        <f t="shared" ca="1" si="3"/>
        <v>88.209843313928644</v>
      </c>
      <c r="T21" s="20">
        <f t="shared" ca="1" si="4"/>
        <v>174.20984331392864</v>
      </c>
      <c r="U21" s="49">
        <f t="shared" ca="1" si="5"/>
        <v>16</v>
      </c>
      <c r="V21" s="51" t="str">
        <f t="shared" ca="1" si="6"/>
        <v>OK</v>
      </c>
      <c r="Z21">
        <v>9</v>
      </c>
      <c r="AA21">
        <v>0</v>
      </c>
    </row>
    <row r="22" spans="1:27" ht="20.25" thickTop="1" thickBot="1" x14ac:dyDescent="0.45">
      <c r="A22" s="22" t="s">
        <v>284</v>
      </c>
      <c r="B22" s="22" t="s">
        <v>266</v>
      </c>
      <c r="C22" s="26">
        <v>0</v>
      </c>
      <c r="D22" s="26">
        <v>0</v>
      </c>
      <c r="E22" s="40" t="s">
        <v>157</v>
      </c>
      <c r="F22" s="26">
        <v>0</v>
      </c>
      <c r="G22" s="26" t="s">
        <v>188</v>
      </c>
      <c r="H22" s="26">
        <v>0</v>
      </c>
      <c r="I22" s="26">
        <v>0</v>
      </c>
      <c r="J22" s="26">
        <v>0</v>
      </c>
      <c r="K22" s="40" t="s">
        <v>157</v>
      </c>
      <c r="L22" s="26">
        <v>0</v>
      </c>
      <c r="M22" s="38">
        <f t="shared" si="0"/>
        <v>0</v>
      </c>
      <c r="N22" s="27">
        <v>6</v>
      </c>
      <c r="O22" s="27">
        <v>6</v>
      </c>
      <c r="P22" s="27">
        <v>6</v>
      </c>
      <c r="Q22" s="27">
        <f t="shared" si="1"/>
        <v>87</v>
      </c>
      <c r="R22" s="21">
        <f t="shared" si="2"/>
        <v>151815</v>
      </c>
      <c r="S22" s="20">
        <f t="shared" ca="1" si="3"/>
        <v>87.869351127076087</v>
      </c>
      <c r="T22" s="20">
        <f t="shared" ca="1" si="4"/>
        <v>174.86935112707607</v>
      </c>
      <c r="U22" s="49">
        <f t="shared" ca="1" si="5"/>
        <v>14</v>
      </c>
      <c r="V22" s="51" t="str">
        <f t="shared" ca="1" si="6"/>
        <v>OK</v>
      </c>
      <c r="Z22">
        <v>10</v>
      </c>
      <c r="AA22">
        <v>0</v>
      </c>
    </row>
    <row r="23" spans="1:27" ht="19.5" thickTop="1" x14ac:dyDescent="0.4">
      <c r="A23" s="22" t="s">
        <v>215</v>
      </c>
      <c r="B23" s="22" t="s">
        <v>285</v>
      </c>
      <c r="C23" s="26">
        <v>0</v>
      </c>
      <c r="D23" s="40" t="s">
        <v>157</v>
      </c>
      <c r="E23" s="40" t="s">
        <v>157</v>
      </c>
      <c r="F23" s="40" t="s">
        <v>157</v>
      </c>
      <c r="G23" s="40" t="s">
        <v>157</v>
      </c>
      <c r="H23" s="40" t="s">
        <v>157</v>
      </c>
      <c r="I23" s="40" t="s">
        <v>157</v>
      </c>
      <c r="J23" s="40" t="s">
        <v>157</v>
      </c>
      <c r="K23" s="40" t="s">
        <v>157</v>
      </c>
      <c r="L23" s="40" t="s">
        <v>157</v>
      </c>
      <c r="M23" s="38">
        <f t="shared" si="0"/>
        <v>0</v>
      </c>
      <c r="N23" s="27">
        <v>6</v>
      </c>
      <c r="O23" s="27">
        <v>6</v>
      </c>
      <c r="P23" s="27">
        <v>6</v>
      </c>
      <c r="Q23" s="27">
        <f t="shared" si="1"/>
        <v>87</v>
      </c>
      <c r="R23" s="21">
        <f t="shared" si="2"/>
        <v>151815</v>
      </c>
      <c r="S23" s="20">
        <f t="shared" ca="1" si="3"/>
        <v>87.756989923315075</v>
      </c>
      <c r="T23" s="20">
        <f t="shared" ca="1" si="4"/>
        <v>174.75698992331507</v>
      </c>
      <c r="U23" s="49">
        <f t="shared" ca="1" si="5"/>
        <v>15</v>
      </c>
      <c r="V23" s="51" t="str">
        <f t="shared" ca="1" si="6"/>
        <v>OK</v>
      </c>
    </row>
    <row r="24" spans="1:27" ht="15.75" x14ac:dyDescent="0.25">
      <c r="Q24" s="63">
        <f>SUM(Q4:Q23)</f>
        <v>1745</v>
      </c>
      <c r="R24" s="9"/>
      <c r="U24" s="64"/>
    </row>
    <row r="29" spans="1:27" ht="18.75" x14ac:dyDescent="0.4">
      <c r="A29" s="61" t="s">
        <v>266</v>
      </c>
      <c r="B29" s="62">
        <f>SUMIF(B4:B23,A29,$M$4:$M$23)</f>
        <v>111</v>
      </c>
    </row>
    <row r="30" spans="1:27" ht="18.75" x14ac:dyDescent="0.4">
      <c r="A30" s="61" t="s">
        <v>275</v>
      </c>
      <c r="B30" s="62">
        <f>SUMIF(B4:B23,A30,$M$4:$M$23)</f>
        <v>47</v>
      </c>
    </row>
    <row r="31" spans="1:27" ht="18.75" x14ac:dyDescent="0.4">
      <c r="A31" s="61" t="s">
        <v>261</v>
      </c>
      <c r="B31" s="62">
        <f>SUMIF(B4:B23,A31,$M$4:$M$23)</f>
        <v>56</v>
      </c>
    </row>
    <row r="32" spans="1:27" ht="18.75" x14ac:dyDescent="0.4">
      <c r="A32" s="61" t="s">
        <v>285</v>
      </c>
      <c r="B32" s="62">
        <f>SUMIF(B4:B23,A32,$M$4:$M$23)</f>
        <v>0</v>
      </c>
    </row>
    <row r="33" spans="1:2" ht="18.75" x14ac:dyDescent="0.4">
      <c r="A33" s="61" t="s">
        <v>286</v>
      </c>
      <c r="B33" s="62">
        <f>SUMIF(B4:B23,A33,$M$4:$M$23)</f>
        <v>0</v>
      </c>
    </row>
    <row r="34" spans="1:2" ht="18.75" x14ac:dyDescent="0.4">
      <c r="A34" s="61" t="s">
        <v>265</v>
      </c>
      <c r="B34" s="62">
        <f>SUMIF(B4:B23,A34,$M$4:$M$23)</f>
        <v>0</v>
      </c>
    </row>
  </sheetData>
  <sortState xmlns:xlrd2="http://schemas.microsoft.com/office/spreadsheetml/2017/richdata2" ref="A4:Q23">
    <sortCondition descending="1" ref="M4:M23"/>
  </sortState>
  <conditionalFormatting sqref="C4:L23">
    <cfRule type="containsText" dxfId="39" priority="1" operator="containsText" text="DNF">
      <formula>NOT(ISERROR(SEARCH("DNF",C4)))</formula>
    </cfRule>
  </conditionalFormatting>
  <conditionalFormatting sqref="U3:U24">
    <cfRule type="cellIs" dxfId="38" priority="9" operator="lessThan">
      <formula>6</formula>
    </cfRule>
  </conditionalFormatting>
  <conditionalFormatting sqref="U4:U24">
    <cfRule type="cellIs" dxfId="37" priority="11" operator="equal">
      <formula>1</formula>
    </cfRule>
  </conditionalFormatting>
  <conditionalFormatting sqref="V4:V23">
    <cfRule type="containsText" dxfId="36" priority="10" operator="containsText" text="DNF">
      <formula>NOT(ISERROR(SEARCH("DNF",V4)))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3"/>
  <dimension ref="A1:X34"/>
  <sheetViews>
    <sheetView zoomScale="80" zoomScaleNormal="80" workbookViewId="0">
      <pane ySplit="3" topLeftCell="A4" activePane="bottomLeft" state="frozen"/>
      <selection pane="bottomLeft" activeCell="I33" sqref="I33"/>
    </sheetView>
  </sheetViews>
  <sheetFormatPr defaultRowHeight="15" x14ac:dyDescent="0.25"/>
  <cols>
    <col min="1" max="1" width="20.85546875" customWidth="1"/>
    <col min="2" max="18" width="16" customWidth="1"/>
  </cols>
  <sheetData>
    <row r="1" spans="1:24" ht="21" x14ac:dyDescent="0.35">
      <c r="A1" s="1" t="s">
        <v>65</v>
      </c>
    </row>
    <row r="3" spans="1:24" ht="15.75" thickBot="1" x14ac:dyDescent="0.3">
      <c r="A3" s="7" t="s">
        <v>6</v>
      </c>
      <c r="B3" s="16" t="s">
        <v>7</v>
      </c>
      <c r="C3" s="67" t="s">
        <v>140</v>
      </c>
      <c r="D3" s="67" t="s">
        <v>197</v>
      </c>
      <c r="E3" s="67" t="s">
        <v>143</v>
      </c>
      <c r="F3" s="67" t="s">
        <v>144</v>
      </c>
      <c r="G3" s="67" t="s">
        <v>139</v>
      </c>
      <c r="H3" s="67" t="s">
        <v>160</v>
      </c>
      <c r="I3" s="67" t="s">
        <v>145</v>
      </c>
      <c r="J3" s="67" t="s">
        <v>292</v>
      </c>
      <c r="K3" s="16" t="s">
        <v>18</v>
      </c>
      <c r="L3" s="17" t="s">
        <v>276</v>
      </c>
      <c r="M3" s="17" t="s">
        <v>277</v>
      </c>
      <c r="N3" s="17" t="s">
        <v>278</v>
      </c>
      <c r="O3" s="17" t="s">
        <v>19</v>
      </c>
      <c r="P3" s="17" t="s">
        <v>158</v>
      </c>
      <c r="Q3" s="16" t="s">
        <v>20</v>
      </c>
      <c r="R3" s="16" t="s">
        <v>21</v>
      </c>
      <c r="S3" s="16" t="s">
        <v>22</v>
      </c>
      <c r="T3" s="50" t="s">
        <v>187</v>
      </c>
    </row>
    <row r="4" spans="1:24" ht="20.25" thickTop="1" thickBot="1" x14ac:dyDescent="0.45">
      <c r="A4" s="22" t="s">
        <v>252</v>
      </c>
      <c r="B4" s="59" t="s">
        <v>261</v>
      </c>
      <c r="C4" s="26">
        <v>6</v>
      </c>
      <c r="D4" s="23">
        <v>9</v>
      </c>
      <c r="E4" s="23">
        <v>9</v>
      </c>
      <c r="F4" s="26">
        <v>6</v>
      </c>
      <c r="G4" s="23">
        <v>6</v>
      </c>
      <c r="H4" s="23">
        <v>9</v>
      </c>
      <c r="I4" s="23">
        <v>9</v>
      </c>
      <c r="J4" s="23" t="s">
        <v>188</v>
      </c>
      <c r="K4" s="38">
        <f t="shared" ref="K4:K23" si="0">SUM(C4:J4)</f>
        <v>54</v>
      </c>
      <c r="L4" s="27">
        <v>9</v>
      </c>
      <c r="M4" s="27">
        <v>8</v>
      </c>
      <c r="N4" s="27">
        <v>9</v>
      </c>
      <c r="O4" s="27">
        <f t="shared" ref="O4:O23" si="1">L4+M4+N4+69</f>
        <v>95</v>
      </c>
      <c r="P4" s="21">
        <f>O4*$O$24</f>
        <v>170145</v>
      </c>
      <c r="Q4" s="20">
        <f ca="1">O4+RAND()*6</f>
        <v>98.19481413874297</v>
      </c>
      <c r="R4" s="20">
        <f ca="1">O4+Q4</f>
        <v>193.19481413874297</v>
      </c>
      <c r="S4" s="49">
        <f ca="1">RANK(R4,$R$4:$R$23,0)</f>
        <v>1</v>
      </c>
      <c r="T4" s="51" t="str">
        <f ca="1">IF(RAND()&lt;0.2-(M4)/50,"DNF","OK")</f>
        <v>OK</v>
      </c>
    </row>
    <row r="5" spans="1:24" ht="20.25" thickTop="1" thickBot="1" x14ac:dyDescent="0.45">
      <c r="A5" s="22" t="s">
        <v>243</v>
      </c>
      <c r="B5" s="59" t="s">
        <v>261</v>
      </c>
      <c r="C5" s="23">
        <v>9</v>
      </c>
      <c r="D5" s="26">
        <v>6</v>
      </c>
      <c r="E5" s="26">
        <v>6</v>
      </c>
      <c r="F5" s="26">
        <v>9</v>
      </c>
      <c r="G5" s="26">
        <v>9</v>
      </c>
      <c r="H5" s="26">
        <v>6</v>
      </c>
      <c r="I5" s="26">
        <v>4</v>
      </c>
      <c r="J5" s="40" t="s">
        <v>157</v>
      </c>
      <c r="K5" s="38">
        <f t="shared" si="0"/>
        <v>49</v>
      </c>
      <c r="L5" s="27">
        <v>9</v>
      </c>
      <c r="M5" s="27">
        <v>8</v>
      </c>
      <c r="N5" s="27">
        <v>8</v>
      </c>
      <c r="O5" s="27">
        <f t="shared" si="1"/>
        <v>94</v>
      </c>
      <c r="P5" s="21">
        <f t="shared" ref="P5:P23" si="2">O5*$O$24</f>
        <v>168354</v>
      </c>
      <c r="Q5" s="20">
        <f t="shared" ref="Q5:Q23" ca="1" si="3">O5+RAND()*6</f>
        <v>96.265062973259063</v>
      </c>
      <c r="R5" s="20">
        <f t="shared" ref="R5:R23" ca="1" si="4">O5+Q5</f>
        <v>190.26506297325906</v>
      </c>
      <c r="S5" s="49">
        <f t="shared" ref="S5:S23" ca="1" si="5">RANK(R5,$R$4:$R$23,0)</f>
        <v>2</v>
      </c>
      <c r="T5" s="51" t="str">
        <f ca="1">IF(RAND()&lt;0.2-(M5)/50,"DNF","OK")</f>
        <v>OK</v>
      </c>
    </row>
    <row r="6" spans="1:24" ht="20.25" thickTop="1" thickBot="1" x14ac:dyDescent="0.45">
      <c r="A6" s="22" t="s">
        <v>281</v>
      </c>
      <c r="B6" s="59" t="s">
        <v>297</v>
      </c>
      <c r="C6" s="26">
        <v>3</v>
      </c>
      <c r="D6" s="26">
        <v>4</v>
      </c>
      <c r="E6" s="26">
        <v>4</v>
      </c>
      <c r="F6" s="26">
        <v>2</v>
      </c>
      <c r="G6" s="26">
        <v>3</v>
      </c>
      <c r="H6" s="26">
        <v>4</v>
      </c>
      <c r="I6" s="26">
        <v>6</v>
      </c>
      <c r="J6" s="26">
        <v>6</v>
      </c>
      <c r="K6" s="38">
        <f t="shared" si="0"/>
        <v>32</v>
      </c>
      <c r="L6" s="27">
        <v>8</v>
      </c>
      <c r="M6" s="27">
        <v>6</v>
      </c>
      <c r="N6" s="27">
        <v>10</v>
      </c>
      <c r="O6" s="27">
        <f t="shared" si="1"/>
        <v>93</v>
      </c>
      <c r="P6" s="21">
        <f t="shared" si="2"/>
        <v>166563</v>
      </c>
      <c r="Q6" s="20">
        <f t="shared" ca="1" si="3"/>
        <v>97.030191815528042</v>
      </c>
      <c r="R6" s="20">
        <f t="shared" ca="1" si="4"/>
        <v>190.03019181552804</v>
      </c>
      <c r="S6" s="49">
        <f t="shared" ca="1" si="5"/>
        <v>3</v>
      </c>
      <c r="T6" s="51" t="str">
        <f t="shared" ref="T6:T23" ca="1" si="6">IF(RAND()&lt;0.2-(M6)/50,"DNF","OK")</f>
        <v>OK</v>
      </c>
    </row>
    <row r="7" spans="1:24" ht="20.25" thickTop="1" thickBot="1" x14ac:dyDescent="0.45">
      <c r="A7" s="22" t="s">
        <v>195</v>
      </c>
      <c r="B7" s="59" t="s">
        <v>297</v>
      </c>
      <c r="C7" s="26">
        <v>2</v>
      </c>
      <c r="D7" s="26">
        <v>0</v>
      </c>
      <c r="E7" s="26">
        <v>3</v>
      </c>
      <c r="F7" s="23" t="s">
        <v>188</v>
      </c>
      <c r="G7" s="26">
        <v>4</v>
      </c>
      <c r="H7" s="26">
        <v>3</v>
      </c>
      <c r="I7" s="26">
        <v>3</v>
      </c>
      <c r="J7" s="26">
        <v>9</v>
      </c>
      <c r="K7" s="38">
        <f t="shared" si="0"/>
        <v>24</v>
      </c>
      <c r="L7" s="27">
        <v>8</v>
      </c>
      <c r="M7" s="27">
        <v>7</v>
      </c>
      <c r="N7" s="27">
        <v>9</v>
      </c>
      <c r="O7" s="27">
        <f t="shared" si="1"/>
        <v>93</v>
      </c>
      <c r="P7" s="21">
        <f t="shared" si="2"/>
        <v>166563</v>
      </c>
      <c r="Q7" s="20">
        <f t="shared" ca="1" si="3"/>
        <v>94.553907009853376</v>
      </c>
      <c r="R7" s="20">
        <f t="shared" ca="1" si="4"/>
        <v>187.55390700985339</v>
      </c>
      <c r="S7" s="49">
        <f t="shared" ca="1" si="5"/>
        <v>6</v>
      </c>
      <c r="T7" s="51" t="str">
        <f t="shared" ca="1" si="6"/>
        <v>OK</v>
      </c>
    </row>
    <row r="8" spans="1:24" ht="20.25" thickTop="1" thickBot="1" x14ac:dyDescent="0.45">
      <c r="A8" s="22" t="s">
        <v>246</v>
      </c>
      <c r="B8" s="59" t="s">
        <v>298</v>
      </c>
      <c r="C8" s="26">
        <v>4</v>
      </c>
      <c r="D8" s="26">
        <v>3</v>
      </c>
      <c r="E8" s="26">
        <v>0</v>
      </c>
      <c r="F8" s="26">
        <v>4</v>
      </c>
      <c r="G8" s="26">
        <v>0</v>
      </c>
      <c r="H8" s="26">
        <v>2</v>
      </c>
      <c r="I8" s="26">
        <v>0</v>
      </c>
      <c r="J8" s="26">
        <v>4</v>
      </c>
      <c r="K8" s="38">
        <f t="shared" si="0"/>
        <v>17</v>
      </c>
      <c r="L8" s="27">
        <v>8</v>
      </c>
      <c r="M8" s="27">
        <v>5</v>
      </c>
      <c r="N8" s="27">
        <v>10</v>
      </c>
      <c r="O8" s="27">
        <f t="shared" si="1"/>
        <v>92</v>
      </c>
      <c r="P8" s="21">
        <f t="shared" si="2"/>
        <v>164772</v>
      </c>
      <c r="Q8" s="20">
        <f t="shared" ca="1" si="3"/>
        <v>92.43850934297835</v>
      </c>
      <c r="R8" s="20">
        <f t="shared" ca="1" si="4"/>
        <v>184.43850934297836</v>
      </c>
      <c r="S8" s="49">
        <f t="shared" ca="1" si="5"/>
        <v>8</v>
      </c>
      <c r="T8" s="51" t="str">
        <f t="shared" ca="1" si="6"/>
        <v>OK</v>
      </c>
    </row>
    <row r="9" spans="1:24" ht="20.25" thickTop="1" thickBot="1" x14ac:dyDescent="0.45">
      <c r="A9" s="22" t="s">
        <v>271</v>
      </c>
      <c r="B9" s="59" t="s">
        <v>265</v>
      </c>
      <c r="C9" s="26" t="s">
        <v>188</v>
      </c>
      <c r="D9" s="26">
        <v>2</v>
      </c>
      <c r="E9" s="26">
        <v>2</v>
      </c>
      <c r="F9" s="26">
        <v>3</v>
      </c>
      <c r="G9" s="26">
        <v>1</v>
      </c>
      <c r="H9" s="26">
        <v>0</v>
      </c>
      <c r="I9" s="26">
        <v>2</v>
      </c>
      <c r="J9" s="26">
        <v>3</v>
      </c>
      <c r="K9" s="38">
        <f t="shared" si="0"/>
        <v>13</v>
      </c>
      <c r="L9" s="27">
        <v>7</v>
      </c>
      <c r="M9" s="27">
        <v>7</v>
      </c>
      <c r="N9" s="27">
        <v>8</v>
      </c>
      <c r="O9" s="27">
        <f t="shared" si="1"/>
        <v>91</v>
      </c>
      <c r="P9" s="21">
        <f t="shared" si="2"/>
        <v>162981</v>
      </c>
      <c r="Q9" s="20">
        <f t="shared" ca="1" si="3"/>
        <v>94.108871299222088</v>
      </c>
      <c r="R9" s="20">
        <f t="shared" ca="1" si="4"/>
        <v>185.10887129922207</v>
      </c>
      <c r="S9" s="49">
        <f t="shared" ca="1" si="5"/>
        <v>7</v>
      </c>
      <c r="T9" s="51" t="str">
        <f t="shared" ca="1" si="6"/>
        <v>OK</v>
      </c>
    </row>
    <row r="10" spans="1:24" ht="20.25" thickTop="1" thickBot="1" x14ac:dyDescent="0.45">
      <c r="A10" s="22" t="s">
        <v>257</v>
      </c>
      <c r="B10" s="59" t="s">
        <v>298</v>
      </c>
      <c r="C10" s="26">
        <v>1</v>
      </c>
      <c r="D10" s="26">
        <v>1</v>
      </c>
      <c r="E10" s="26">
        <v>1</v>
      </c>
      <c r="F10" s="26">
        <v>0</v>
      </c>
      <c r="G10" s="26">
        <v>0</v>
      </c>
      <c r="H10" s="26">
        <v>1</v>
      </c>
      <c r="I10" s="26">
        <v>0</v>
      </c>
      <c r="J10" s="26">
        <v>2</v>
      </c>
      <c r="K10" s="38">
        <f t="shared" si="0"/>
        <v>6</v>
      </c>
      <c r="L10" s="27">
        <v>7</v>
      </c>
      <c r="M10" s="27">
        <v>7</v>
      </c>
      <c r="N10" s="27">
        <v>8</v>
      </c>
      <c r="O10" s="27">
        <f t="shared" si="1"/>
        <v>91</v>
      </c>
      <c r="P10" s="21">
        <f t="shared" si="2"/>
        <v>162981</v>
      </c>
      <c r="Q10" s="20">
        <f t="shared" ca="1" si="3"/>
        <v>96.739337196974788</v>
      </c>
      <c r="R10" s="20">
        <f t="shared" ca="1" si="4"/>
        <v>187.73933719697479</v>
      </c>
      <c r="S10" s="49">
        <f t="shared" ca="1" si="5"/>
        <v>4</v>
      </c>
      <c r="T10" s="51" t="str">
        <f t="shared" ca="1" si="6"/>
        <v>OK</v>
      </c>
    </row>
    <row r="11" spans="1:24" ht="20.25" thickTop="1" thickBot="1" x14ac:dyDescent="0.45">
      <c r="A11" s="22" t="s">
        <v>293</v>
      </c>
      <c r="B11" s="59" t="s">
        <v>261</v>
      </c>
      <c r="C11" s="40" t="s">
        <v>157</v>
      </c>
      <c r="D11" s="40" t="s">
        <v>157</v>
      </c>
      <c r="E11" s="40" t="s">
        <v>157</v>
      </c>
      <c r="F11" s="26">
        <v>1</v>
      </c>
      <c r="G11" s="26">
        <v>2</v>
      </c>
      <c r="H11" s="40" t="s">
        <v>157</v>
      </c>
      <c r="I11" s="26">
        <v>1</v>
      </c>
      <c r="J11" s="40" t="s">
        <v>157</v>
      </c>
      <c r="K11" s="38">
        <f t="shared" si="0"/>
        <v>4</v>
      </c>
      <c r="L11" s="27">
        <v>8</v>
      </c>
      <c r="M11" s="27">
        <v>6</v>
      </c>
      <c r="N11" s="27">
        <v>9</v>
      </c>
      <c r="O11" s="27">
        <f t="shared" si="1"/>
        <v>92</v>
      </c>
      <c r="P11" s="21">
        <f t="shared" si="2"/>
        <v>164772</v>
      </c>
      <c r="Q11" s="20">
        <f t="shared" ca="1" si="3"/>
        <v>95.560505908933735</v>
      </c>
      <c r="R11" s="20">
        <f t="shared" ca="1" si="4"/>
        <v>187.56050590893375</v>
      </c>
      <c r="S11" s="49">
        <f t="shared" ca="1" si="5"/>
        <v>5</v>
      </c>
      <c r="T11" s="51" t="str">
        <f t="shared" ca="1" si="6"/>
        <v>OK</v>
      </c>
    </row>
    <row r="12" spans="1:24" ht="20.25" thickTop="1" thickBot="1" x14ac:dyDescent="0.45">
      <c r="A12" s="22" t="s">
        <v>280</v>
      </c>
      <c r="B12" s="59" t="s">
        <v>261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1</v>
      </c>
      <c r="K12" s="38">
        <f t="shared" si="0"/>
        <v>1</v>
      </c>
      <c r="L12" s="27">
        <v>7</v>
      </c>
      <c r="M12" s="27">
        <v>7</v>
      </c>
      <c r="N12" s="27">
        <v>7</v>
      </c>
      <c r="O12" s="27">
        <f t="shared" si="1"/>
        <v>90</v>
      </c>
      <c r="P12" s="21">
        <f t="shared" si="2"/>
        <v>161190</v>
      </c>
      <c r="Q12" s="20">
        <f t="shared" ca="1" si="3"/>
        <v>94.216520656881599</v>
      </c>
      <c r="R12" s="20">
        <f t="shared" ca="1" si="4"/>
        <v>184.21652065688158</v>
      </c>
      <c r="S12" s="49">
        <f t="shared" ca="1" si="5"/>
        <v>9</v>
      </c>
      <c r="T12" s="51" t="str">
        <f t="shared" ca="1" si="6"/>
        <v>OK</v>
      </c>
      <c r="W12">
        <v>1</v>
      </c>
      <c r="X12">
        <v>9</v>
      </c>
    </row>
    <row r="13" spans="1:24" ht="20.25" thickTop="1" thickBot="1" x14ac:dyDescent="0.45">
      <c r="A13" s="22" t="s">
        <v>282</v>
      </c>
      <c r="B13" s="59" t="s">
        <v>298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 t="s">
        <v>188</v>
      </c>
      <c r="I13" s="26" t="s">
        <v>188</v>
      </c>
      <c r="J13" s="26">
        <v>0</v>
      </c>
      <c r="K13" s="38">
        <f t="shared" si="0"/>
        <v>0</v>
      </c>
      <c r="L13" s="27">
        <v>7</v>
      </c>
      <c r="M13" s="27">
        <v>5</v>
      </c>
      <c r="N13" s="27">
        <v>9</v>
      </c>
      <c r="O13" s="27">
        <f t="shared" si="1"/>
        <v>90</v>
      </c>
      <c r="P13" s="21">
        <f t="shared" si="2"/>
        <v>161190</v>
      </c>
      <c r="Q13" s="20">
        <f ca="1">O13+RAND()*6</f>
        <v>93.121632743913665</v>
      </c>
      <c r="R13" s="20">
        <f t="shared" ca="1" si="4"/>
        <v>183.12163274391366</v>
      </c>
      <c r="S13" s="49">
        <f t="shared" ca="1" si="5"/>
        <v>10</v>
      </c>
      <c r="T13" s="51" t="str">
        <f t="shared" ca="1" si="6"/>
        <v>OK</v>
      </c>
      <c r="W13">
        <v>2</v>
      </c>
      <c r="X13">
        <v>6</v>
      </c>
    </row>
    <row r="14" spans="1:24" ht="20.25" thickTop="1" thickBot="1" x14ac:dyDescent="0.45">
      <c r="A14" s="22" t="s">
        <v>273</v>
      </c>
      <c r="B14" s="59" t="s">
        <v>297</v>
      </c>
      <c r="C14" s="26">
        <v>0</v>
      </c>
      <c r="D14" s="40" t="s">
        <v>157</v>
      </c>
      <c r="E14" s="26">
        <v>0</v>
      </c>
      <c r="F14" s="26" t="s">
        <v>188</v>
      </c>
      <c r="G14" s="26">
        <v>0</v>
      </c>
      <c r="H14" s="26">
        <v>0</v>
      </c>
      <c r="I14" s="26">
        <v>0</v>
      </c>
      <c r="J14" s="26">
        <v>0</v>
      </c>
      <c r="K14" s="38">
        <f t="shared" si="0"/>
        <v>0</v>
      </c>
      <c r="L14" s="27">
        <v>7</v>
      </c>
      <c r="M14" s="27">
        <v>5</v>
      </c>
      <c r="N14" s="27">
        <v>6</v>
      </c>
      <c r="O14" s="27">
        <f t="shared" si="1"/>
        <v>87</v>
      </c>
      <c r="P14" s="21">
        <f t="shared" si="2"/>
        <v>155817</v>
      </c>
      <c r="Q14" s="20">
        <f t="shared" ca="1" si="3"/>
        <v>89.433918934228913</v>
      </c>
      <c r="R14" s="20">
        <f t="shared" ca="1" si="4"/>
        <v>176.43391893422893</v>
      </c>
      <c r="S14" s="49">
        <f t="shared" ca="1" si="5"/>
        <v>17</v>
      </c>
      <c r="T14" s="51" t="str">
        <f t="shared" ca="1" si="6"/>
        <v>OK</v>
      </c>
      <c r="W14">
        <v>3</v>
      </c>
      <c r="X14">
        <v>4</v>
      </c>
    </row>
    <row r="15" spans="1:24" ht="20.25" thickTop="1" thickBot="1" x14ac:dyDescent="0.45">
      <c r="A15" s="22" t="s">
        <v>240</v>
      </c>
      <c r="B15" s="59" t="s">
        <v>299</v>
      </c>
      <c r="C15" s="26">
        <v>0</v>
      </c>
      <c r="D15" s="26" t="s">
        <v>188</v>
      </c>
      <c r="E15" s="26">
        <v>0</v>
      </c>
      <c r="F15" s="26">
        <v>0</v>
      </c>
      <c r="G15" s="26">
        <v>0</v>
      </c>
      <c r="H15" s="26">
        <v>0</v>
      </c>
      <c r="I15" s="26" t="s">
        <v>188</v>
      </c>
      <c r="J15" s="26">
        <v>0</v>
      </c>
      <c r="K15" s="38">
        <f t="shared" si="0"/>
        <v>0</v>
      </c>
      <c r="L15" s="27">
        <v>6</v>
      </c>
      <c r="M15" s="27">
        <v>4</v>
      </c>
      <c r="N15" s="27">
        <v>7</v>
      </c>
      <c r="O15" s="27">
        <f t="shared" si="1"/>
        <v>86</v>
      </c>
      <c r="P15" s="21">
        <f t="shared" si="2"/>
        <v>154026</v>
      </c>
      <c r="Q15" s="20">
        <f t="shared" ca="1" si="3"/>
        <v>89.981509679989429</v>
      </c>
      <c r="R15" s="20">
        <f t="shared" ca="1" si="4"/>
        <v>175.98150967998941</v>
      </c>
      <c r="S15" s="49">
        <f t="shared" ca="1" si="5"/>
        <v>18</v>
      </c>
      <c r="T15" s="51" t="str">
        <f t="shared" ca="1" si="6"/>
        <v>OK</v>
      </c>
      <c r="W15">
        <v>4</v>
      </c>
      <c r="X15">
        <v>3</v>
      </c>
    </row>
    <row r="16" spans="1:24" ht="20.25" thickTop="1" thickBot="1" x14ac:dyDescent="0.45">
      <c r="A16" s="22" t="s">
        <v>294</v>
      </c>
      <c r="B16" s="59" t="s">
        <v>298</v>
      </c>
      <c r="C16" s="40" t="s">
        <v>157</v>
      </c>
      <c r="D16" s="40" t="s">
        <v>157</v>
      </c>
      <c r="E16" s="26">
        <v>0</v>
      </c>
      <c r="F16" s="26">
        <v>0</v>
      </c>
      <c r="G16" s="26" t="s">
        <v>188</v>
      </c>
      <c r="H16" s="26">
        <v>0</v>
      </c>
      <c r="I16" s="26">
        <v>0</v>
      </c>
      <c r="J16" s="40" t="s">
        <v>157</v>
      </c>
      <c r="K16" s="38">
        <f t="shared" si="0"/>
        <v>0</v>
      </c>
      <c r="L16" s="27">
        <v>6</v>
      </c>
      <c r="M16" s="27">
        <v>7</v>
      </c>
      <c r="N16" s="27">
        <v>6</v>
      </c>
      <c r="O16" s="27">
        <f t="shared" si="1"/>
        <v>88</v>
      </c>
      <c r="P16" s="21">
        <f t="shared" si="2"/>
        <v>157608</v>
      </c>
      <c r="Q16" s="20">
        <f t="shared" ca="1" si="3"/>
        <v>93.12622094040303</v>
      </c>
      <c r="R16" s="20">
        <f t="shared" ca="1" si="4"/>
        <v>181.12622094040302</v>
      </c>
      <c r="S16" s="49">
        <f t="shared" ca="1" si="5"/>
        <v>11</v>
      </c>
      <c r="T16" s="51" t="str">
        <f t="shared" ca="1" si="6"/>
        <v>OK</v>
      </c>
      <c r="W16">
        <v>5</v>
      </c>
      <c r="X16">
        <v>2</v>
      </c>
    </row>
    <row r="17" spans="1:24" ht="20.25" thickTop="1" thickBot="1" x14ac:dyDescent="0.45">
      <c r="A17" s="22" t="s">
        <v>229</v>
      </c>
      <c r="B17" s="59" t="s">
        <v>297</v>
      </c>
      <c r="C17" s="26">
        <v>0</v>
      </c>
      <c r="D17" s="40" t="s">
        <v>157</v>
      </c>
      <c r="E17" s="26">
        <v>0</v>
      </c>
      <c r="F17" s="40" t="s">
        <v>157</v>
      </c>
      <c r="G17" s="26">
        <v>0</v>
      </c>
      <c r="H17" s="40" t="s">
        <v>157</v>
      </c>
      <c r="I17" s="40" t="s">
        <v>157</v>
      </c>
      <c r="J17" s="26">
        <v>0</v>
      </c>
      <c r="K17" s="38">
        <f t="shared" si="0"/>
        <v>0</v>
      </c>
      <c r="L17" s="27">
        <v>6</v>
      </c>
      <c r="M17" s="27">
        <v>6</v>
      </c>
      <c r="N17" s="27">
        <v>5</v>
      </c>
      <c r="O17" s="27">
        <f t="shared" si="1"/>
        <v>86</v>
      </c>
      <c r="P17" s="21">
        <f t="shared" si="2"/>
        <v>154026</v>
      </c>
      <c r="Q17" s="20">
        <f t="shared" ca="1" si="3"/>
        <v>86.563342151927827</v>
      </c>
      <c r="R17" s="20">
        <f t="shared" ca="1" si="4"/>
        <v>172.56334215192783</v>
      </c>
      <c r="S17" s="49">
        <f t="shared" ca="1" si="5"/>
        <v>20</v>
      </c>
      <c r="T17" s="51" t="str">
        <f t="shared" ca="1" si="6"/>
        <v>OK</v>
      </c>
      <c r="W17">
        <v>6</v>
      </c>
      <c r="X17">
        <v>1</v>
      </c>
    </row>
    <row r="18" spans="1:24" ht="20.25" thickTop="1" thickBot="1" x14ac:dyDescent="0.45">
      <c r="A18" s="22" t="s">
        <v>247</v>
      </c>
      <c r="B18" s="59" t="s">
        <v>265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38">
        <f t="shared" si="0"/>
        <v>0</v>
      </c>
      <c r="L18" s="27">
        <v>5</v>
      </c>
      <c r="M18" s="27">
        <v>6</v>
      </c>
      <c r="N18" s="27">
        <v>7</v>
      </c>
      <c r="O18" s="27">
        <f t="shared" si="1"/>
        <v>87</v>
      </c>
      <c r="P18" s="21">
        <f t="shared" si="2"/>
        <v>155817</v>
      </c>
      <c r="Q18" s="20">
        <f t="shared" ca="1" si="3"/>
        <v>90.836907176108923</v>
      </c>
      <c r="R18" s="20">
        <f t="shared" ca="1" si="4"/>
        <v>177.83690717610892</v>
      </c>
      <c r="S18" s="49">
        <f t="shared" ca="1" si="5"/>
        <v>13</v>
      </c>
      <c r="T18" s="51" t="str">
        <f t="shared" ca="1" si="6"/>
        <v>OK</v>
      </c>
      <c r="W18">
        <v>7</v>
      </c>
      <c r="X18">
        <v>0</v>
      </c>
    </row>
    <row r="19" spans="1:24" ht="20.25" thickTop="1" thickBot="1" x14ac:dyDescent="0.45">
      <c r="A19" s="22" t="s">
        <v>258</v>
      </c>
      <c r="B19" s="59" t="s">
        <v>299</v>
      </c>
      <c r="C19" s="26" t="s">
        <v>188</v>
      </c>
      <c r="D19" s="26" t="s">
        <v>188</v>
      </c>
      <c r="E19" s="26">
        <v>0</v>
      </c>
      <c r="F19" s="26" t="s">
        <v>188</v>
      </c>
      <c r="G19" s="26">
        <v>0</v>
      </c>
      <c r="H19" s="26">
        <v>0</v>
      </c>
      <c r="I19" s="26">
        <v>0</v>
      </c>
      <c r="J19" s="26">
        <v>0</v>
      </c>
      <c r="K19" s="38">
        <f t="shared" si="0"/>
        <v>0</v>
      </c>
      <c r="L19" s="27">
        <v>5</v>
      </c>
      <c r="M19" s="27">
        <v>5</v>
      </c>
      <c r="N19" s="27">
        <v>9</v>
      </c>
      <c r="O19" s="27">
        <f t="shared" si="1"/>
        <v>88</v>
      </c>
      <c r="P19" s="21">
        <f t="shared" si="2"/>
        <v>157608</v>
      </c>
      <c r="Q19" s="20">
        <f t="shared" ca="1" si="3"/>
        <v>89.247831896914761</v>
      </c>
      <c r="R19" s="20">
        <f t="shared" ca="1" si="4"/>
        <v>177.24783189691476</v>
      </c>
      <c r="S19" s="49">
        <f t="shared" ca="1" si="5"/>
        <v>15</v>
      </c>
      <c r="T19" s="51" t="str">
        <f t="shared" ca="1" si="6"/>
        <v>OK</v>
      </c>
      <c r="W19">
        <v>8</v>
      </c>
      <c r="X19">
        <v>0</v>
      </c>
    </row>
    <row r="20" spans="1:24" ht="20.25" thickTop="1" thickBot="1" x14ac:dyDescent="0.45">
      <c r="A20" s="22" t="s">
        <v>244</v>
      </c>
      <c r="B20" s="59" t="s">
        <v>298</v>
      </c>
      <c r="C20" s="40" t="s">
        <v>157</v>
      </c>
      <c r="D20" s="40" t="s">
        <v>157</v>
      </c>
      <c r="E20" s="40" t="s">
        <v>157</v>
      </c>
      <c r="F20" s="26">
        <v>0</v>
      </c>
      <c r="G20" s="26">
        <v>0</v>
      </c>
      <c r="H20" s="26" t="s">
        <v>188</v>
      </c>
      <c r="I20" s="26">
        <v>0</v>
      </c>
      <c r="J20" s="26">
        <v>0</v>
      </c>
      <c r="K20" s="38">
        <f t="shared" si="0"/>
        <v>0</v>
      </c>
      <c r="L20" s="27">
        <v>6</v>
      </c>
      <c r="M20" s="27">
        <v>5</v>
      </c>
      <c r="N20" s="27">
        <v>6</v>
      </c>
      <c r="O20" s="27">
        <f t="shared" si="1"/>
        <v>86</v>
      </c>
      <c r="P20" s="21">
        <f t="shared" si="2"/>
        <v>154026</v>
      </c>
      <c r="Q20" s="20">
        <f t="shared" ca="1" si="3"/>
        <v>88.886580473980629</v>
      </c>
      <c r="R20" s="20">
        <f t="shared" ca="1" si="4"/>
        <v>174.88658047398064</v>
      </c>
      <c r="S20" s="49">
        <f t="shared" ca="1" si="5"/>
        <v>19</v>
      </c>
      <c r="T20" s="51" t="str">
        <f t="shared" ca="1" si="6"/>
        <v>OK</v>
      </c>
      <c r="W20">
        <v>9</v>
      </c>
      <c r="X20">
        <v>0</v>
      </c>
    </row>
    <row r="21" spans="1:24" ht="20.25" thickTop="1" thickBot="1" x14ac:dyDescent="0.45">
      <c r="A21" s="22" t="s">
        <v>183</v>
      </c>
      <c r="B21" s="59" t="s">
        <v>300</v>
      </c>
      <c r="C21" s="26">
        <v>0</v>
      </c>
      <c r="D21" s="40" t="s">
        <v>157</v>
      </c>
      <c r="E21" s="26">
        <v>0</v>
      </c>
      <c r="F21" s="26">
        <v>0</v>
      </c>
      <c r="G21" s="40" t="s">
        <v>157</v>
      </c>
      <c r="H21" s="26">
        <v>0</v>
      </c>
      <c r="I21" s="26">
        <v>0</v>
      </c>
      <c r="J21" s="40" t="s">
        <v>188</v>
      </c>
      <c r="K21" s="38">
        <f t="shared" si="0"/>
        <v>0</v>
      </c>
      <c r="L21" s="27">
        <v>6</v>
      </c>
      <c r="M21" s="27">
        <v>6</v>
      </c>
      <c r="N21" s="27">
        <v>7</v>
      </c>
      <c r="O21" s="27">
        <f t="shared" si="1"/>
        <v>88</v>
      </c>
      <c r="P21" s="21">
        <f t="shared" si="2"/>
        <v>157608</v>
      </c>
      <c r="Q21" s="20">
        <f t="shared" ca="1" si="3"/>
        <v>88.636789615083828</v>
      </c>
      <c r="R21" s="20">
        <f t="shared" ca="1" si="4"/>
        <v>176.63678961508384</v>
      </c>
      <c r="S21" s="49">
        <f t="shared" ca="1" si="5"/>
        <v>16</v>
      </c>
      <c r="T21" s="51" t="str">
        <f t="shared" ca="1" si="6"/>
        <v>OK</v>
      </c>
      <c r="W21">
        <v>10</v>
      </c>
      <c r="X21">
        <v>0</v>
      </c>
    </row>
    <row r="22" spans="1:24" ht="20.25" thickTop="1" thickBot="1" x14ac:dyDescent="0.45">
      <c r="A22" s="22" t="s">
        <v>295</v>
      </c>
      <c r="B22" s="59" t="s">
        <v>265</v>
      </c>
      <c r="C22" s="40" t="s">
        <v>157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40" t="s">
        <v>157</v>
      </c>
      <c r="K22" s="38">
        <f t="shared" si="0"/>
        <v>0</v>
      </c>
      <c r="L22" s="27">
        <v>6</v>
      </c>
      <c r="M22" s="27">
        <v>6</v>
      </c>
      <c r="N22" s="27">
        <v>5</v>
      </c>
      <c r="O22" s="27">
        <f t="shared" si="1"/>
        <v>86</v>
      </c>
      <c r="P22" s="21">
        <f t="shared" si="2"/>
        <v>154026</v>
      </c>
      <c r="Q22" s="20">
        <f t="shared" ca="1" si="3"/>
        <v>91.551862072328205</v>
      </c>
      <c r="R22" s="20">
        <f t="shared" ca="1" si="4"/>
        <v>177.55186207232822</v>
      </c>
      <c r="S22" s="49">
        <f t="shared" ca="1" si="5"/>
        <v>14</v>
      </c>
      <c r="T22" s="51" t="str">
        <f t="shared" ca="1" si="6"/>
        <v>OK</v>
      </c>
    </row>
    <row r="23" spans="1:24" ht="19.5" thickTop="1" x14ac:dyDescent="0.4">
      <c r="A23" s="22" t="s">
        <v>296</v>
      </c>
      <c r="B23" s="59" t="s">
        <v>300</v>
      </c>
      <c r="C23" s="40" t="s">
        <v>157</v>
      </c>
      <c r="D23" s="40" t="s">
        <v>157</v>
      </c>
      <c r="E23" s="26">
        <v>0</v>
      </c>
      <c r="F23" s="40" t="s">
        <v>157</v>
      </c>
      <c r="G23" s="26">
        <v>0</v>
      </c>
      <c r="H23" s="26">
        <v>0</v>
      </c>
      <c r="I23" s="26">
        <v>0</v>
      </c>
      <c r="J23" s="40" t="s">
        <v>157</v>
      </c>
      <c r="K23" s="38">
        <f t="shared" si="0"/>
        <v>0</v>
      </c>
      <c r="L23" s="27">
        <v>7</v>
      </c>
      <c r="M23" s="27">
        <v>5</v>
      </c>
      <c r="N23" s="27">
        <v>7</v>
      </c>
      <c r="O23" s="27">
        <f t="shared" si="1"/>
        <v>88</v>
      </c>
      <c r="P23" s="21">
        <f t="shared" si="2"/>
        <v>157608</v>
      </c>
      <c r="Q23" s="20">
        <f t="shared" ca="1" si="3"/>
        <v>92.503843526088829</v>
      </c>
      <c r="R23" s="20">
        <f t="shared" ca="1" si="4"/>
        <v>180.50384352608881</v>
      </c>
      <c r="S23" s="49">
        <f t="shared" ca="1" si="5"/>
        <v>12</v>
      </c>
      <c r="T23" s="51" t="str">
        <f t="shared" ca="1" si="6"/>
        <v>OK</v>
      </c>
    </row>
    <row r="24" spans="1:24" ht="15.75" x14ac:dyDescent="0.25">
      <c r="O24" s="63">
        <f>SUM(O4:O23)</f>
        <v>1791</v>
      </c>
      <c r="P24" s="9"/>
      <c r="S24" s="64"/>
    </row>
    <row r="26" spans="1:24" x14ac:dyDescent="0.25">
      <c r="P26" s="68"/>
    </row>
    <row r="29" spans="1:24" ht="18.75" x14ac:dyDescent="0.4">
      <c r="A29" s="61" t="s">
        <v>261</v>
      </c>
      <c r="B29" s="62">
        <f>SUMIF(B4:B23,A29,$K$4:$K$23)</f>
        <v>108</v>
      </c>
    </row>
    <row r="30" spans="1:24" ht="18.75" x14ac:dyDescent="0.4">
      <c r="A30" s="61" t="s">
        <v>297</v>
      </c>
      <c r="B30" s="62">
        <f>SUMIF(B4:B23,A30,$K$4:$K$23)</f>
        <v>56</v>
      </c>
    </row>
    <row r="31" spans="1:24" ht="18.75" x14ac:dyDescent="0.4">
      <c r="A31" s="61" t="s">
        <v>298</v>
      </c>
      <c r="B31" s="62">
        <f>SUMIF(B3:B22,A31,$K$4:$K$23)</f>
        <v>17</v>
      </c>
    </row>
    <row r="32" spans="1:24" ht="18.75" x14ac:dyDescent="0.4">
      <c r="A32" s="61" t="s">
        <v>265</v>
      </c>
      <c r="B32" s="62">
        <f>SUMIF(B5:B24,A32,$K$4:$K$23)</f>
        <v>17</v>
      </c>
    </row>
    <row r="33" spans="1:2" ht="18.75" x14ac:dyDescent="0.4">
      <c r="A33" s="61" t="s">
        <v>299</v>
      </c>
      <c r="B33" s="62">
        <f>SUMIF(B4:B23,A33,$K$4:$K$23)</f>
        <v>0</v>
      </c>
    </row>
    <row r="34" spans="1:2" ht="18.75" x14ac:dyDescent="0.4">
      <c r="A34" s="66" t="s">
        <v>300</v>
      </c>
      <c r="B34" s="62">
        <f>SUMIF(B4:B23,A34,$K$4:$K$23)</f>
        <v>0</v>
      </c>
    </row>
  </sheetData>
  <sortState xmlns:xlrd2="http://schemas.microsoft.com/office/spreadsheetml/2017/richdata2" ref="A4:O23">
    <sortCondition descending="1" ref="K4:K23"/>
  </sortState>
  <conditionalFormatting sqref="C4:C5">
    <cfRule type="containsText" dxfId="35" priority="16" operator="containsText" text="DNF">
      <formula>NOT(ISERROR(SEARCH("DNF",C4)))</formula>
    </cfRule>
  </conditionalFormatting>
  <conditionalFormatting sqref="C4:J23">
    <cfRule type="containsText" dxfId="34" priority="1" operator="containsText" text="DNF">
      <formula>NOT(ISERROR(SEARCH("DNF",C4)))</formula>
    </cfRule>
    <cfRule type="cellIs" dxfId="33" priority="2" operator="equal">
      <formula>9</formula>
    </cfRule>
  </conditionalFormatting>
  <conditionalFormatting sqref="D14:D15">
    <cfRule type="containsText" dxfId="32" priority="15" operator="containsText" text="DNF">
      <formula>NOT(ISERROR(SEARCH("DNF",D14)))</formula>
    </cfRule>
  </conditionalFormatting>
  <conditionalFormatting sqref="D19">
    <cfRule type="containsText" dxfId="31" priority="14" operator="containsText" text="DNF">
      <formula>NOT(ISERROR(SEARCH("DNF",D19)))</formula>
    </cfRule>
  </conditionalFormatting>
  <conditionalFormatting sqref="D4:E4">
    <cfRule type="containsText" dxfId="30" priority="13" operator="containsText" text="DNF">
      <formula>NOT(ISERROR(SEARCH("DNF",D4)))</formula>
    </cfRule>
  </conditionalFormatting>
  <conditionalFormatting sqref="F5:F6">
    <cfRule type="containsText" dxfId="29" priority="9" operator="containsText" text="DNF">
      <formula>NOT(ISERROR(SEARCH("DNF",F5)))</formula>
    </cfRule>
  </conditionalFormatting>
  <conditionalFormatting sqref="F22">
    <cfRule type="containsText" dxfId="28" priority="10" operator="containsText" text="DNF">
      <formula>NOT(ISERROR(SEARCH("DNF",F22)))</formula>
    </cfRule>
  </conditionalFormatting>
  <conditionalFormatting sqref="F13:G13">
    <cfRule type="containsText" dxfId="27" priority="11" operator="containsText" text="DNF">
      <formula>NOT(ISERROR(SEARCH("DNF",F13)))</formula>
    </cfRule>
  </conditionalFormatting>
  <conditionalFormatting sqref="G15">
    <cfRule type="containsText" dxfId="26" priority="8" operator="containsText" text="DNF">
      <formula>NOT(ISERROR(SEARCH("DNF",G15)))</formula>
    </cfRule>
  </conditionalFormatting>
  <conditionalFormatting sqref="G4:J4">
    <cfRule type="containsText" dxfId="25" priority="7" operator="containsText" text="DNF">
      <formula>NOT(ISERROR(SEARCH("DNF",G4)))</formula>
    </cfRule>
  </conditionalFormatting>
  <conditionalFormatting sqref="H14">
    <cfRule type="containsText" dxfId="24" priority="6" operator="containsText" text="DNF">
      <formula>NOT(ISERROR(SEARCH("DNF",H14)))</formula>
    </cfRule>
  </conditionalFormatting>
  <conditionalFormatting sqref="I19">
    <cfRule type="containsText" dxfId="23" priority="5" operator="containsText" text="DNF">
      <formula>NOT(ISERROR(SEARCH("DNF",I19)))</formula>
    </cfRule>
  </conditionalFormatting>
  <conditionalFormatting sqref="J13">
    <cfRule type="containsText" dxfId="22" priority="3" operator="containsText" text="DNF">
      <formula>NOT(ISERROR(SEARCH("DNF",J13)))</formula>
    </cfRule>
  </conditionalFormatting>
  <conditionalFormatting sqref="J18">
    <cfRule type="containsText" dxfId="21" priority="4" operator="containsText" text="DNF">
      <formula>NOT(ISERROR(SEARCH("DNF",J18)))</formula>
    </cfRule>
  </conditionalFormatting>
  <conditionalFormatting sqref="S3:S24">
    <cfRule type="cellIs" dxfId="20" priority="19" operator="lessThan">
      <formula>7</formula>
    </cfRule>
  </conditionalFormatting>
  <conditionalFormatting sqref="S4:S24">
    <cfRule type="cellIs" dxfId="19" priority="21" operator="equal">
      <formula>1</formula>
    </cfRule>
  </conditionalFormatting>
  <conditionalFormatting sqref="T4:T23">
    <cfRule type="containsText" dxfId="18" priority="20" operator="containsText" text="DNF">
      <formula>NOT(ISERROR(SEARCH("DNF",T4)))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4"/>
  <dimension ref="A1:Z35"/>
  <sheetViews>
    <sheetView zoomScale="80" zoomScaleNormal="80" workbookViewId="0">
      <pane ySplit="3" topLeftCell="A4" activePane="bottomLeft" state="frozen"/>
      <selection pane="bottomLeft" activeCell="K33" sqref="K33"/>
    </sheetView>
  </sheetViews>
  <sheetFormatPr defaultRowHeight="15" x14ac:dyDescent="0.25"/>
  <cols>
    <col min="1" max="1" width="27.7109375" customWidth="1"/>
    <col min="2" max="2" width="21" bestFit="1" customWidth="1"/>
    <col min="3" max="19" width="16" customWidth="1"/>
  </cols>
  <sheetData>
    <row r="1" spans="1:26" ht="21" x14ac:dyDescent="0.35">
      <c r="A1" s="1" t="s">
        <v>66</v>
      </c>
    </row>
    <row r="3" spans="1:26" ht="15.75" thickBot="1" x14ac:dyDescent="0.3">
      <c r="A3" s="7" t="s">
        <v>6</v>
      </c>
      <c r="B3" s="16" t="s">
        <v>7</v>
      </c>
      <c r="C3" s="16" t="s">
        <v>197</v>
      </c>
      <c r="D3" s="16" t="s">
        <v>140</v>
      </c>
      <c r="E3" s="16" t="s">
        <v>143</v>
      </c>
      <c r="F3" s="16" t="s">
        <v>144</v>
      </c>
      <c r="G3" s="16" t="s">
        <v>139</v>
      </c>
      <c r="H3" s="16" t="s">
        <v>160</v>
      </c>
      <c r="I3" s="16" t="s">
        <v>145</v>
      </c>
      <c r="J3" s="16" t="s">
        <v>279</v>
      </c>
      <c r="K3" s="16" t="s">
        <v>301</v>
      </c>
      <c r="L3" s="16" t="s">
        <v>18</v>
      </c>
      <c r="M3" s="17" t="s">
        <v>276</v>
      </c>
      <c r="N3" s="17" t="s">
        <v>277</v>
      </c>
      <c r="O3" s="17" t="s">
        <v>278</v>
      </c>
      <c r="P3" s="17" t="s">
        <v>19</v>
      </c>
      <c r="Q3" s="17" t="s">
        <v>158</v>
      </c>
      <c r="R3" s="16" t="s">
        <v>20</v>
      </c>
      <c r="S3" s="16" t="s">
        <v>21</v>
      </c>
      <c r="T3" s="16" t="s">
        <v>22</v>
      </c>
      <c r="U3" s="50" t="s">
        <v>187</v>
      </c>
    </row>
    <row r="4" spans="1:26" ht="20.25" thickTop="1" thickBot="1" x14ac:dyDescent="0.45">
      <c r="A4" s="26" t="s">
        <v>258</v>
      </c>
      <c r="B4" s="26" t="s">
        <v>262</v>
      </c>
      <c r="C4" s="26">
        <v>9</v>
      </c>
      <c r="D4" s="26">
        <v>9</v>
      </c>
      <c r="E4" s="26">
        <v>4</v>
      </c>
      <c r="F4" s="26">
        <v>4</v>
      </c>
      <c r="G4" s="26">
        <v>9</v>
      </c>
      <c r="H4" s="26">
        <v>9</v>
      </c>
      <c r="I4" s="26">
        <v>6</v>
      </c>
      <c r="J4" s="26">
        <v>6</v>
      </c>
      <c r="K4" s="26">
        <v>9</v>
      </c>
      <c r="L4" s="38">
        <f t="shared" ref="L4:L23" si="0">SUM(C4:K4)</f>
        <v>65</v>
      </c>
      <c r="M4" s="27">
        <v>9</v>
      </c>
      <c r="N4" s="27">
        <v>8</v>
      </c>
      <c r="O4" s="27">
        <v>9</v>
      </c>
      <c r="P4" s="27">
        <f t="shared" ref="P4:P23" si="1">M4+N4+O4+69</f>
        <v>95</v>
      </c>
      <c r="Q4" s="21">
        <f>P4*$P$24</f>
        <v>171855</v>
      </c>
      <c r="R4" s="20">
        <f ca="1">P4+RAND()*6</f>
        <v>98.703876186049115</v>
      </c>
      <c r="S4" s="20">
        <f ca="1">P4+R4</f>
        <v>193.70387618604911</v>
      </c>
      <c r="T4" s="49">
        <f ca="1">RANK(S4,$S$4:$S$23,0)</f>
        <v>1</v>
      </c>
      <c r="U4" s="51" t="str">
        <f ca="1">IF(RAND()&lt;0.2-(N4)/50,"DNF","OK")</f>
        <v>OK</v>
      </c>
    </row>
    <row r="5" spans="1:26" ht="20.25" thickTop="1" thickBot="1" x14ac:dyDescent="0.45">
      <c r="A5" s="26" t="s">
        <v>257</v>
      </c>
      <c r="B5" s="26" t="s">
        <v>298</v>
      </c>
      <c r="C5" s="26">
        <v>6</v>
      </c>
      <c r="D5" s="26">
        <v>6</v>
      </c>
      <c r="E5" s="26">
        <v>6</v>
      </c>
      <c r="F5" s="26">
        <v>9</v>
      </c>
      <c r="G5" s="26">
        <v>6</v>
      </c>
      <c r="H5" s="26">
        <v>6</v>
      </c>
      <c r="I5" s="26">
        <v>4</v>
      </c>
      <c r="J5" s="26">
        <v>9</v>
      </c>
      <c r="K5" s="26">
        <v>6</v>
      </c>
      <c r="L5" s="38">
        <f t="shared" si="0"/>
        <v>58</v>
      </c>
      <c r="M5" s="27">
        <v>9</v>
      </c>
      <c r="N5" s="27">
        <v>8</v>
      </c>
      <c r="O5" s="27">
        <v>9</v>
      </c>
      <c r="P5" s="27">
        <f t="shared" si="1"/>
        <v>95</v>
      </c>
      <c r="Q5" s="21">
        <f>P5*$P$24</f>
        <v>171855</v>
      </c>
      <c r="R5" s="20">
        <f t="shared" ref="R5:R22" ca="1" si="2">P5+RAND()*6</f>
        <v>97.901906893183295</v>
      </c>
      <c r="S5" s="20">
        <f t="shared" ref="S5:S22" ca="1" si="3">P5+R5</f>
        <v>192.90190689318331</v>
      </c>
      <c r="T5" s="49">
        <f t="shared" ref="T5:T23" ca="1" si="4">RANK(S5,$S$4:$S$23,0)</f>
        <v>2</v>
      </c>
      <c r="U5" s="51" t="str">
        <f ca="1">IF(RAND()&lt;0.2-(N5)/50,"DNF","OK")</f>
        <v>OK</v>
      </c>
    </row>
    <row r="6" spans="1:26" ht="20.25" thickTop="1" thickBot="1" x14ac:dyDescent="0.45">
      <c r="A6" s="26" t="s">
        <v>252</v>
      </c>
      <c r="B6" s="26" t="s">
        <v>261</v>
      </c>
      <c r="C6" s="26">
        <v>3</v>
      </c>
      <c r="D6" s="26">
        <v>4</v>
      </c>
      <c r="E6" s="26">
        <v>0</v>
      </c>
      <c r="F6" s="26">
        <v>6</v>
      </c>
      <c r="G6" s="26">
        <v>1</v>
      </c>
      <c r="H6" s="26">
        <v>4</v>
      </c>
      <c r="I6" s="26">
        <v>9</v>
      </c>
      <c r="J6" s="26">
        <v>3</v>
      </c>
      <c r="K6" s="40" t="s">
        <v>157</v>
      </c>
      <c r="L6" s="38">
        <f t="shared" si="0"/>
        <v>30</v>
      </c>
      <c r="M6" s="27">
        <v>8</v>
      </c>
      <c r="N6" s="27">
        <v>8</v>
      </c>
      <c r="O6" s="27">
        <v>9</v>
      </c>
      <c r="P6" s="27">
        <f t="shared" si="1"/>
        <v>94</v>
      </c>
      <c r="Q6" s="21">
        <f t="shared" ref="Q6:Q23" si="5">P6*$P$24</f>
        <v>170046</v>
      </c>
      <c r="R6" s="20">
        <f t="shared" ca="1" si="2"/>
        <v>96.647479135066149</v>
      </c>
      <c r="S6" s="20">
        <f t="shared" ca="1" si="3"/>
        <v>190.64747913506613</v>
      </c>
      <c r="T6" s="49">
        <f t="shared" ca="1" si="4"/>
        <v>4</v>
      </c>
      <c r="U6" s="51" t="str">
        <f t="shared" ref="U6:U23" ca="1" si="6">IF(RAND()&lt;0.2-(N6)/50,"DNF","OK")</f>
        <v>OK</v>
      </c>
    </row>
    <row r="7" spans="1:26" ht="20.25" thickTop="1" thickBot="1" x14ac:dyDescent="0.45">
      <c r="A7" s="26" t="s">
        <v>282</v>
      </c>
      <c r="B7" s="26" t="s">
        <v>362</v>
      </c>
      <c r="C7" s="26">
        <v>4</v>
      </c>
      <c r="D7" s="26">
        <v>1</v>
      </c>
      <c r="E7" s="26">
        <v>3</v>
      </c>
      <c r="F7" s="26">
        <v>1</v>
      </c>
      <c r="G7" s="26">
        <v>4</v>
      </c>
      <c r="H7" s="26">
        <v>2</v>
      </c>
      <c r="I7" s="26">
        <v>3</v>
      </c>
      <c r="J7" s="26">
        <v>4</v>
      </c>
      <c r="K7" s="26">
        <v>4</v>
      </c>
      <c r="L7" s="38">
        <f t="shared" si="0"/>
        <v>26</v>
      </c>
      <c r="M7" s="27">
        <v>8</v>
      </c>
      <c r="N7" s="27">
        <v>7</v>
      </c>
      <c r="O7" s="27">
        <v>9</v>
      </c>
      <c r="P7" s="27">
        <f t="shared" si="1"/>
        <v>93</v>
      </c>
      <c r="Q7" s="21">
        <f t="shared" si="5"/>
        <v>168237</v>
      </c>
      <c r="R7" s="20">
        <f t="shared" ca="1" si="2"/>
        <v>96.183171620891201</v>
      </c>
      <c r="S7" s="20">
        <f t="shared" ca="1" si="3"/>
        <v>189.18317162089119</v>
      </c>
      <c r="T7" s="49">
        <f t="shared" ca="1" si="4"/>
        <v>5</v>
      </c>
      <c r="U7" s="51" t="str">
        <f t="shared" ca="1" si="6"/>
        <v>OK</v>
      </c>
    </row>
    <row r="8" spans="1:26" ht="20.25" thickTop="1" thickBot="1" x14ac:dyDescent="0.45">
      <c r="A8" s="26" t="s">
        <v>281</v>
      </c>
      <c r="B8" s="26" t="s">
        <v>297</v>
      </c>
      <c r="C8" s="26">
        <v>1</v>
      </c>
      <c r="D8" s="26" t="s">
        <v>188</v>
      </c>
      <c r="E8" s="26">
        <v>9</v>
      </c>
      <c r="F8" s="26">
        <v>3</v>
      </c>
      <c r="G8" s="26">
        <v>3</v>
      </c>
      <c r="H8" s="26">
        <v>3</v>
      </c>
      <c r="I8" s="26">
        <v>1</v>
      </c>
      <c r="J8" s="26">
        <v>2</v>
      </c>
      <c r="K8" s="26" t="s">
        <v>188</v>
      </c>
      <c r="L8" s="38">
        <f t="shared" si="0"/>
        <v>22</v>
      </c>
      <c r="M8" s="27">
        <v>10</v>
      </c>
      <c r="N8" s="27">
        <v>5</v>
      </c>
      <c r="O8" s="27">
        <v>10</v>
      </c>
      <c r="P8" s="27">
        <f t="shared" si="1"/>
        <v>94</v>
      </c>
      <c r="Q8" s="21">
        <f t="shared" si="5"/>
        <v>170046</v>
      </c>
      <c r="R8" s="20">
        <f t="shared" ca="1" si="2"/>
        <v>97.250890281676433</v>
      </c>
      <c r="S8" s="20">
        <f t="shared" ca="1" si="3"/>
        <v>191.25089028167645</v>
      </c>
      <c r="T8" s="49">
        <f t="shared" ca="1" si="4"/>
        <v>3</v>
      </c>
      <c r="U8" s="51" t="str">
        <f t="shared" ca="1" si="6"/>
        <v>DNF</v>
      </c>
    </row>
    <row r="9" spans="1:26" ht="20.25" thickTop="1" thickBot="1" x14ac:dyDescent="0.45">
      <c r="A9" s="26" t="s">
        <v>246</v>
      </c>
      <c r="B9" s="26" t="s">
        <v>363</v>
      </c>
      <c r="C9" s="26">
        <v>0</v>
      </c>
      <c r="D9" s="26">
        <v>3</v>
      </c>
      <c r="E9" s="26">
        <v>1</v>
      </c>
      <c r="F9" s="26">
        <v>2</v>
      </c>
      <c r="G9" s="26">
        <v>2</v>
      </c>
      <c r="H9" s="26">
        <v>1</v>
      </c>
      <c r="I9" s="40" t="s">
        <v>157</v>
      </c>
      <c r="J9" s="26">
        <v>1</v>
      </c>
      <c r="K9" s="26">
        <v>3</v>
      </c>
      <c r="L9" s="38">
        <f t="shared" si="0"/>
        <v>13</v>
      </c>
      <c r="M9" s="27">
        <v>8</v>
      </c>
      <c r="N9" s="27">
        <v>6</v>
      </c>
      <c r="O9" s="27">
        <v>10</v>
      </c>
      <c r="P9" s="27">
        <f t="shared" si="1"/>
        <v>93</v>
      </c>
      <c r="Q9" s="21">
        <f t="shared" si="5"/>
        <v>168237</v>
      </c>
      <c r="R9" s="20">
        <f t="shared" ca="1" si="2"/>
        <v>93.061762830718067</v>
      </c>
      <c r="S9" s="20">
        <f t="shared" ca="1" si="3"/>
        <v>186.06176283071807</v>
      </c>
      <c r="T9" s="49">
        <f t="shared" ca="1" si="4"/>
        <v>6</v>
      </c>
      <c r="U9" s="51" t="str">
        <f t="shared" ca="1" si="6"/>
        <v>OK</v>
      </c>
    </row>
    <row r="10" spans="1:26" ht="20.25" thickTop="1" thickBot="1" x14ac:dyDescent="0.45">
      <c r="A10" s="26" t="s">
        <v>358</v>
      </c>
      <c r="B10" s="26" t="s">
        <v>297</v>
      </c>
      <c r="C10" s="26">
        <v>2</v>
      </c>
      <c r="D10" s="26">
        <v>2</v>
      </c>
      <c r="E10" s="26">
        <v>2</v>
      </c>
      <c r="F10" s="26">
        <v>0</v>
      </c>
      <c r="G10" s="26">
        <v>0</v>
      </c>
      <c r="H10" s="26">
        <v>0</v>
      </c>
      <c r="I10" s="26">
        <v>2</v>
      </c>
      <c r="J10" s="26">
        <v>0</v>
      </c>
      <c r="K10" s="26">
        <v>2</v>
      </c>
      <c r="L10" s="38">
        <f t="shared" si="0"/>
        <v>10</v>
      </c>
      <c r="M10" s="27">
        <v>8</v>
      </c>
      <c r="N10" s="27">
        <v>7</v>
      </c>
      <c r="O10" s="27">
        <v>8</v>
      </c>
      <c r="P10" s="27">
        <f t="shared" si="1"/>
        <v>92</v>
      </c>
      <c r="Q10" s="21">
        <f t="shared" si="5"/>
        <v>166428</v>
      </c>
      <c r="R10" s="20">
        <f t="shared" ca="1" si="2"/>
        <v>92.397744313522082</v>
      </c>
      <c r="S10" s="20">
        <f t="shared" ca="1" si="3"/>
        <v>184.39774431352208</v>
      </c>
      <c r="T10" s="49">
        <f t="shared" ca="1" si="4"/>
        <v>11</v>
      </c>
      <c r="U10" s="51" t="str">
        <f t="shared" ca="1" si="6"/>
        <v>OK</v>
      </c>
      <c r="Y10">
        <v>1</v>
      </c>
      <c r="Z10">
        <v>9</v>
      </c>
    </row>
    <row r="11" spans="1:26" ht="20.25" thickTop="1" thickBot="1" x14ac:dyDescent="0.45">
      <c r="A11" s="26" t="s">
        <v>360</v>
      </c>
      <c r="B11" s="26" t="s">
        <v>265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1</v>
      </c>
      <c r="L11" s="38">
        <f t="shared" si="0"/>
        <v>1</v>
      </c>
      <c r="M11" s="27">
        <v>7</v>
      </c>
      <c r="N11" s="27">
        <v>8</v>
      </c>
      <c r="O11" s="27">
        <v>6</v>
      </c>
      <c r="P11" s="27">
        <f t="shared" si="1"/>
        <v>90</v>
      </c>
      <c r="Q11" s="21">
        <f t="shared" si="5"/>
        <v>162810</v>
      </c>
      <c r="R11" s="20">
        <f t="shared" ca="1" si="2"/>
        <v>93.572087775216133</v>
      </c>
      <c r="S11" s="20">
        <f t="shared" ca="1" si="3"/>
        <v>183.57208777521612</v>
      </c>
      <c r="T11" s="49">
        <f t="shared" ca="1" si="4"/>
        <v>13</v>
      </c>
      <c r="U11" s="51" t="str">
        <f t="shared" ca="1" si="6"/>
        <v>OK</v>
      </c>
      <c r="Y11">
        <v>2</v>
      </c>
      <c r="Z11">
        <v>6</v>
      </c>
    </row>
    <row r="12" spans="1:26" ht="20.25" thickTop="1" thickBot="1" x14ac:dyDescent="0.45">
      <c r="A12" s="26" t="s">
        <v>271</v>
      </c>
      <c r="B12" s="26" t="s">
        <v>265</v>
      </c>
      <c r="C12" s="26">
        <v>0</v>
      </c>
      <c r="D12" s="26">
        <v>0</v>
      </c>
      <c r="E12" s="26">
        <v>0</v>
      </c>
      <c r="F12" s="26" t="s">
        <v>188</v>
      </c>
      <c r="G12" s="26" t="s">
        <v>188</v>
      </c>
      <c r="H12" s="26">
        <v>0</v>
      </c>
      <c r="I12" s="26">
        <v>0</v>
      </c>
      <c r="J12" s="26">
        <v>0</v>
      </c>
      <c r="K12" s="40" t="s">
        <v>157</v>
      </c>
      <c r="L12" s="38">
        <f t="shared" si="0"/>
        <v>0</v>
      </c>
      <c r="M12" s="27">
        <v>8</v>
      </c>
      <c r="N12" s="27">
        <v>7</v>
      </c>
      <c r="O12" s="27">
        <v>7</v>
      </c>
      <c r="P12" s="27">
        <f t="shared" si="1"/>
        <v>91</v>
      </c>
      <c r="Q12" s="21">
        <f t="shared" si="5"/>
        <v>164619</v>
      </c>
      <c r="R12" s="20">
        <f t="shared" ca="1" si="2"/>
        <v>94.094491762685664</v>
      </c>
      <c r="S12" s="20">
        <f t="shared" ca="1" si="3"/>
        <v>185.09449176268566</v>
      </c>
      <c r="T12" s="49">
        <f t="shared" ca="1" si="4"/>
        <v>9</v>
      </c>
      <c r="U12" s="51" t="str">
        <f t="shared" ca="1" si="6"/>
        <v>OK</v>
      </c>
      <c r="Y12">
        <v>3</v>
      </c>
      <c r="Z12">
        <v>4</v>
      </c>
    </row>
    <row r="13" spans="1:26" ht="20.25" thickTop="1" thickBot="1" x14ac:dyDescent="0.45">
      <c r="A13" s="26" t="s">
        <v>357</v>
      </c>
      <c r="B13" s="26" t="s">
        <v>298</v>
      </c>
      <c r="C13" s="26">
        <v>0</v>
      </c>
      <c r="D13" s="26">
        <v>0</v>
      </c>
      <c r="E13" s="26" t="s">
        <v>188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38">
        <f t="shared" si="0"/>
        <v>0</v>
      </c>
      <c r="M13" s="27">
        <v>7</v>
      </c>
      <c r="N13" s="27">
        <v>7</v>
      </c>
      <c r="O13" s="27">
        <v>7</v>
      </c>
      <c r="P13" s="27">
        <f t="shared" si="1"/>
        <v>90</v>
      </c>
      <c r="Q13" s="21">
        <f t="shared" si="5"/>
        <v>162810</v>
      </c>
      <c r="R13" s="20">
        <f ca="1">P13+RAND()*6</f>
        <v>95.409303185861759</v>
      </c>
      <c r="S13" s="20">
        <f t="shared" ca="1" si="3"/>
        <v>185.40930318586175</v>
      </c>
      <c r="T13" s="49">
        <f t="shared" ca="1" si="4"/>
        <v>8</v>
      </c>
      <c r="U13" s="51" t="str">
        <f t="shared" ca="1" si="6"/>
        <v>DNF</v>
      </c>
      <c r="Y13">
        <v>4</v>
      </c>
      <c r="Z13">
        <v>3</v>
      </c>
    </row>
    <row r="14" spans="1:26" ht="20.25" thickTop="1" thickBot="1" x14ac:dyDescent="0.45">
      <c r="A14" s="26" t="s">
        <v>280</v>
      </c>
      <c r="B14" s="26" t="s">
        <v>262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38">
        <f t="shared" si="0"/>
        <v>0</v>
      </c>
      <c r="M14" s="27">
        <v>7</v>
      </c>
      <c r="N14" s="27">
        <v>7</v>
      </c>
      <c r="O14" s="27">
        <v>6</v>
      </c>
      <c r="P14" s="27">
        <f t="shared" si="1"/>
        <v>89</v>
      </c>
      <c r="Q14" s="21">
        <f t="shared" si="5"/>
        <v>161001</v>
      </c>
      <c r="R14" s="20">
        <f t="shared" ca="1" si="2"/>
        <v>94.834315776090037</v>
      </c>
      <c r="S14" s="20">
        <f t="shared" ca="1" si="3"/>
        <v>183.83431577609002</v>
      </c>
      <c r="T14" s="49">
        <f t="shared" ca="1" si="4"/>
        <v>12</v>
      </c>
      <c r="U14" s="51" t="str">
        <f t="shared" ca="1" si="6"/>
        <v>OK</v>
      </c>
      <c r="Y14">
        <v>5</v>
      </c>
      <c r="Z14">
        <v>2</v>
      </c>
    </row>
    <row r="15" spans="1:26" ht="20.25" thickTop="1" thickBot="1" x14ac:dyDescent="0.45">
      <c r="A15" s="26" t="s">
        <v>293</v>
      </c>
      <c r="B15" s="26" t="s">
        <v>261</v>
      </c>
      <c r="C15" s="26">
        <v>0</v>
      </c>
      <c r="D15" s="40" t="s">
        <v>157</v>
      </c>
      <c r="E15" s="26">
        <v>0</v>
      </c>
      <c r="F15" s="40" t="s">
        <v>157</v>
      </c>
      <c r="G15" s="26">
        <v>0</v>
      </c>
      <c r="H15" s="26">
        <v>0</v>
      </c>
      <c r="I15" s="26">
        <v>0</v>
      </c>
      <c r="J15" s="26">
        <v>0</v>
      </c>
      <c r="K15" s="40" t="s">
        <v>157</v>
      </c>
      <c r="L15" s="38">
        <f t="shared" si="0"/>
        <v>0</v>
      </c>
      <c r="M15" s="27">
        <v>7</v>
      </c>
      <c r="N15" s="27">
        <v>7</v>
      </c>
      <c r="O15" s="27">
        <v>7</v>
      </c>
      <c r="P15" s="27">
        <f t="shared" si="1"/>
        <v>90</v>
      </c>
      <c r="Q15" s="21">
        <f t="shared" si="5"/>
        <v>162810</v>
      </c>
      <c r="R15" s="20">
        <f t="shared" ca="1" si="2"/>
        <v>91.760397282472596</v>
      </c>
      <c r="S15" s="20">
        <f t="shared" ca="1" si="3"/>
        <v>181.76039728247258</v>
      </c>
      <c r="T15" s="49">
        <f t="shared" ca="1" si="4"/>
        <v>16</v>
      </c>
      <c r="U15" s="51" t="str">
        <f t="shared" ca="1" si="6"/>
        <v>OK</v>
      </c>
      <c r="Y15">
        <v>6</v>
      </c>
      <c r="Z15">
        <v>1</v>
      </c>
    </row>
    <row r="16" spans="1:26" ht="20.25" thickTop="1" thickBot="1" x14ac:dyDescent="0.45">
      <c r="A16" s="26" t="s">
        <v>296</v>
      </c>
      <c r="B16" s="26" t="s">
        <v>261</v>
      </c>
      <c r="C16" s="40" t="s">
        <v>157</v>
      </c>
      <c r="D16" s="26">
        <v>0</v>
      </c>
      <c r="E16" s="40" t="s">
        <v>157</v>
      </c>
      <c r="F16" s="26">
        <v>0</v>
      </c>
      <c r="G16" s="40" t="s">
        <v>157</v>
      </c>
      <c r="H16" s="26">
        <v>0</v>
      </c>
      <c r="I16" s="26">
        <v>0</v>
      </c>
      <c r="J16" s="26">
        <v>0</v>
      </c>
      <c r="K16" s="40" t="s">
        <v>157</v>
      </c>
      <c r="L16" s="38">
        <f t="shared" si="0"/>
        <v>0</v>
      </c>
      <c r="M16" s="27">
        <v>8</v>
      </c>
      <c r="N16" s="27">
        <v>5</v>
      </c>
      <c r="O16" s="27">
        <v>9</v>
      </c>
      <c r="P16" s="27">
        <f t="shared" si="1"/>
        <v>91</v>
      </c>
      <c r="Q16" s="21">
        <f t="shared" si="5"/>
        <v>164619</v>
      </c>
      <c r="R16" s="20">
        <f t="shared" ca="1" si="2"/>
        <v>92.527497406003306</v>
      </c>
      <c r="S16" s="20">
        <f t="shared" ca="1" si="3"/>
        <v>183.52749740600331</v>
      </c>
      <c r="T16" s="49">
        <f t="shared" ca="1" si="4"/>
        <v>14</v>
      </c>
      <c r="U16" s="51" t="str">
        <f t="shared" ca="1" si="6"/>
        <v>OK</v>
      </c>
      <c r="Y16">
        <v>7</v>
      </c>
      <c r="Z16">
        <v>0</v>
      </c>
    </row>
    <row r="17" spans="1:26" ht="20.25" thickTop="1" thickBot="1" x14ac:dyDescent="0.45">
      <c r="A17" s="26" t="s">
        <v>359</v>
      </c>
      <c r="B17" s="26" t="s">
        <v>261</v>
      </c>
      <c r="C17" s="26" t="s">
        <v>188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40" t="s">
        <v>157</v>
      </c>
      <c r="L17" s="38">
        <f t="shared" si="0"/>
        <v>0</v>
      </c>
      <c r="M17" s="27">
        <v>8</v>
      </c>
      <c r="N17" s="27">
        <v>7</v>
      </c>
      <c r="O17" s="27">
        <v>6</v>
      </c>
      <c r="P17" s="27">
        <f t="shared" si="1"/>
        <v>90</v>
      </c>
      <c r="Q17" s="21">
        <f t="shared" si="5"/>
        <v>162810</v>
      </c>
      <c r="R17" s="20">
        <f t="shared" ca="1" si="2"/>
        <v>95.777094470560684</v>
      </c>
      <c r="S17" s="20">
        <f t="shared" ca="1" si="3"/>
        <v>185.77709447056068</v>
      </c>
      <c r="T17" s="49">
        <f t="shared" ca="1" si="4"/>
        <v>7</v>
      </c>
      <c r="U17" s="51" t="str">
        <f t="shared" ca="1" si="6"/>
        <v>OK</v>
      </c>
      <c r="Y17">
        <v>8</v>
      </c>
      <c r="Z17">
        <v>0</v>
      </c>
    </row>
    <row r="18" spans="1:26" ht="20.25" thickTop="1" thickBot="1" x14ac:dyDescent="0.45">
      <c r="A18" s="26" t="s">
        <v>283</v>
      </c>
      <c r="B18" s="26" t="s">
        <v>261</v>
      </c>
      <c r="C18" s="40" t="s">
        <v>157</v>
      </c>
      <c r="D18" s="26">
        <v>0</v>
      </c>
      <c r="E18" s="26">
        <v>0</v>
      </c>
      <c r="F18" s="40" t="s">
        <v>157</v>
      </c>
      <c r="G18" s="40" t="s">
        <v>157</v>
      </c>
      <c r="H18" s="40" t="s">
        <v>157</v>
      </c>
      <c r="I18" s="26">
        <v>0</v>
      </c>
      <c r="J18" s="26">
        <v>0</v>
      </c>
      <c r="K18" s="40" t="s">
        <v>157</v>
      </c>
      <c r="L18" s="38">
        <f t="shared" si="0"/>
        <v>0</v>
      </c>
      <c r="M18" s="27">
        <v>6</v>
      </c>
      <c r="N18" s="27">
        <v>7</v>
      </c>
      <c r="O18" s="27">
        <v>6</v>
      </c>
      <c r="P18" s="27">
        <f t="shared" si="1"/>
        <v>88</v>
      </c>
      <c r="Q18" s="21">
        <f t="shared" si="5"/>
        <v>159192</v>
      </c>
      <c r="R18" s="20">
        <f t="shared" ca="1" si="2"/>
        <v>88.803007596952341</v>
      </c>
      <c r="S18" s="20">
        <f t="shared" ca="1" si="3"/>
        <v>176.80300759695234</v>
      </c>
      <c r="T18" s="49">
        <f t="shared" ca="1" si="4"/>
        <v>18</v>
      </c>
      <c r="U18" s="51" t="str">
        <f t="shared" ca="1" si="6"/>
        <v>OK</v>
      </c>
      <c r="Y18">
        <v>9</v>
      </c>
      <c r="Z18">
        <v>0</v>
      </c>
    </row>
    <row r="19" spans="1:26" ht="20.25" thickTop="1" thickBot="1" x14ac:dyDescent="0.45">
      <c r="A19" s="26" t="s">
        <v>247</v>
      </c>
      <c r="B19" s="26" t="s">
        <v>265</v>
      </c>
      <c r="C19" s="26">
        <v>0</v>
      </c>
      <c r="D19" s="26">
        <v>0</v>
      </c>
      <c r="E19" s="26">
        <v>0</v>
      </c>
      <c r="F19" s="26" t="s">
        <v>188</v>
      </c>
      <c r="G19" s="26">
        <v>0</v>
      </c>
      <c r="H19" s="26">
        <v>0</v>
      </c>
      <c r="I19" s="26">
        <v>0</v>
      </c>
      <c r="J19" s="26">
        <v>0</v>
      </c>
      <c r="K19" s="40" t="s">
        <v>157</v>
      </c>
      <c r="L19" s="38">
        <f t="shared" si="0"/>
        <v>0</v>
      </c>
      <c r="M19" s="27">
        <v>7</v>
      </c>
      <c r="N19" s="27">
        <v>8</v>
      </c>
      <c r="O19" s="27">
        <v>7</v>
      </c>
      <c r="P19" s="27">
        <f t="shared" si="1"/>
        <v>91</v>
      </c>
      <c r="Q19" s="21">
        <f t="shared" si="5"/>
        <v>164619</v>
      </c>
      <c r="R19" s="20">
        <f t="shared" ca="1" si="2"/>
        <v>92.102742533788813</v>
      </c>
      <c r="S19" s="20">
        <f t="shared" ca="1" si="3"/>
        <v>183.10274253378881</v>
      </c>
      <c r="T19" s="49">
        <f t="shared" ca="1" si="4"/>
        <v>15</v>
      </c>
      <c r="U19" s="51" t="str">
        <f t="shared" ca="1" si="6"/>
        <v>OK</v>
      </c>
      <c r="Y19">
        <v>10</v>
      </c>
      <c r="Z19">
        <v>0</v>
      </c>
    </row>
    <row r="20" spans="1:26" ht="20.25" thickTop="1" thickBot="1" x14ac:dyDescent="0.45">
      <c r="A20" s="26" t="s">
        <v>273</v>
      </c>
      <c r="B20" s="26" t="s">
        <v>297</v>
      </c>
      <c r="C20" s="26">
        <v>0</v>
      </c>
      <c r="D20" s="26">
        <v>0</v>
      </c>
      <c r="E20" s="26" t="s">
        <v>188</v>
      </c>
      <c r="F20" s="26">
        <v>0</v>
      </c>
      <c r="G20" s="26">
        <v>0</v>
      </c>
      <c r="H20" s="40" t="s">
        <v>157</v>
      </c>
      <c r="I20" s="26">
        <v>0</v>
      </c>
      <c r="J20" s="26">
        <v>0</v>
      </c>
      <c r="K20" s="40">
        <v>0</v>
      </c>
      <c r="L20" s="38">
        <f t="shared" si="0"/>
        <v>0</v>
      </c>
      <c r="M20" s="27">
        <v>7</v>
      </c>
      <c r="N20" s="27">
        <v>7</v>
      </c>
      <c r="O20" s="27">
        <v>4</v>
      </c>
      <c r="P20" s="27">
        <f t="shared" si="1"/>
        <v>87</v>
      </c>
      <c r="Q20" s="21">
        <f t="shared" si="5"/>
        <v>157383</v>
      </c>
      <c r="R20" s="20">
        <f t="shared" ca="1" si="2"/>
        <v>92.265645759230694</v>
      </c>
      <c r="S20" s="20">
        <f t="shared" ca="1" si="3"/>
        <v>179.26564575923069</v>
      </c>
      <c r="T20" s="49">
        <f t="shared" ca="1" si="4"/>
        <v>17</v>
      </c>
      <c r="U20" s="51" t="str">
        <f t="shared" ca="1" si="6"/>
        <v>OK</v>
      </c>
    </row>
    <row r="21" spans="1:26" ht="20.25" thickTop="1" thickBot="1" x14ac:dyDescent="0.45">
      <c r="A21" s="26" t="s">
        <v>241</v>
      </c>
      <c r="B21" s="26" t="s">
        <v>364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40" t="s">
        <v>157</v>
      </c>
      <c r="L21" s="38">
        <f t="shared" si="0"/>
        <v>0</v>
      </c>
      <c r="M21" s="27">
        <v>3</v>
      </c>
      <c r="N21" s="27">
        <v>5</v>
      </c>
      <c r="O21" s="27">
        <v>5</v>
      </c>
      <c r="P21" s="27">
        <f t="shared" si="1"/>
        <v>82</v>
      </c>
      <c r="Q21" s="21">
        <f t="shared" si="5"/>
        <v>148338</v>
      </c>
      <c r="R21" s="20">
        <f t="shared" ca="1" si="2"/>
        <v>86.951612649166691</v>
      </c>
      <c r="S21" s="20">
        <f t="shared" ca="1" si="3"/>
        <v>168.95161264916669</v>
      </c>
      <c r="T21" s="49">
        <f t="shared" ca="1" si="4"/>
        <v>20</v>
      </c>
      <c r="U21" s="51" t="str">
        <f t="shared" ca="1" si="6"/>
        <v>OK</v>
      </c>
    </row>
    <row r="22" spans="1:26" ht="20.25" thickTop="1" thickBot="1" x14ac:dyDescent="0.45">
      <c r="A22" s="26" t="s">
        <v>361</v>
      </c>
      <c r="B22" s="26" t="s">
        <v>297</v>
      </c>
      <c r="C22" s="40" t="s">
        <v>157</v>
      </c>
      <c r="D22" s="40" t="s">
        <v>157</v>
      </c>
      <c r="E22" s="40" t="s">
        <v>157</v>
      </c>
      <c r="F22" s="40" t="s">
        <v>157</v>
      </c>
      <c r="G22" s="40" t="s">
        <v>157</v>
      </c>
      <c r="H22" s="40" t="s">
        <v>157</v>
      </c>
      <c r="I22" s="40" t="s">
        <v>157</v>
      </c>
      <c r="J22" s="40" t="s">
        <v>157</v>
      </c>
      <c r="K22" s="26">
        <v>0</v>
      </c>
      <c r="L22" s="38">
        <f t="shared" si="0"/>
        <v>0</v>
      </c>
      <c r="M22" s="27">
        <v>4</v>
      </c>
      <c r="N22" s="27">
        <v>5</v>
      </c>
      <c r="O22" s="27">
        <v>5</v>
      </c>
      <c r="P22" s="27">
        <f t="shared" si="1"/>
        <v>83</v>
      </c>
      <c r="Q22" s="21">
        <f t="shared" si="5"/>
        <v>150147</v>
      </c>
      <c r="R22" s="20">
        <f t="shared" ca="1" si="2"/>
        <v>88.982514968659231</v>
      </c>
      <c r="S22" s="20">
        <f t="shared" ca="1" si="3"/>
        <v>171.98251496865925</v>
      </c>
      <c r="T22" s="49">
        <f t="shared" ca="1" si="4"/>
        <v>19</v>
      </c>
      <c r="U22" s="51" t="str">
        <f t="shared" ca="1" si="6"/>
        <v>OK</v>
      </c>
    </row>
    <row r="23" spans="1:26" ht="19.5" thickTop="1" x14ac:dyDescent="0.4">
      <c r="A23" s="26" t="s">
        <v>183</v>
      </c>
      <c r="B23" s="26" t="s">
        <v>297</v>
      </c>
      <c r="C23" s="40" t="s">
        <v>157</v>
      </c>
      <c r="D23" s="26">
        <v>0</v>
      </c>
      <c r="E23" s="26">
        <v>0</v>
      </c>
      <c r="F23" s="26">
        <v>0</v>
      </c>
      <c r="G23" s="40" t="s">
        <v>157</v>
      </c>
      <c r="H23" s="26">
        <v>0</v>
      </c>
      <c r="I23" s="26">
        <v>0</v>
      </c>
      <c r="J23" s="26">
        <v>0</v>
      </c>
      <c r="K23" s="40" t="s">
        <v>157</v>
      </c>
      <c r="L23" s="38">
        <f t="shared" si="0"/>
        <v>0</v>
      </c>
      <c r="M23" s="27">
        <v>7</v>
      </c>
      <c r="N23" s="27">
        <v>8</v>
      </c>
      <c r="O23" s="27">
        <v>7</v>
      </c>
      <c r="P23" s="27">
        <f t="shared" si="1"/>
        <v>91</v>
      </c>
      <c r="Q23" s="21">
        <f t="shared" si="5"/>
        <v>164619</v>
      </c>
      <c r="R23" s="20">
        <f ca="1">P23+RAND()*6</f>
        <v>94.091323601547174</v>
      </c>
      <c r="S23" s="20">
        <f ca="1">P23+R23</f>
        <v>185.09132360154717</v>
      </c>
      <c r="T23" s="49">
        <f t="shared" ca="1" si="4"/>
        <v>10</v>
      </c>
      <c r="U23" s="51" t="str">
        <f t="shared" ca="1" si="6"/>
        <v>OK</v>
      </c>
    </row>
    <row r="24" spans="1:26" ht="15.75" x14ac:dyDescent="0.25">
      <c r="P24" s="63">
        <f>SUM(P4:P23)</f>
        <v>1809</v>
      </c>
      <c r="Q24" s="9"/>
      <c r="T24" s="64"/>
    </row>
    <row r="27" spans="1:26" ht="18.75" x14ac:dyDescent="0.4">
      <c r="A27" s="48" t="s">
        <v>262</v>
      </c>
      <c r="B27" s="70">
        <f t="shared" ref="B27:B34" si="7">SUMIF($B$4:$B$23,A27,$L$4:$L$23)</f>
        <v>65</v>
      </c>
    </row>
    <row r="28" spans="1:26" ht="18.75" x14ac:dyDescent="0.4">
      <c r="A28" s="61" t="s">
        <v>298</v>
      </c>
      <c r="B28" s="62">
        <f t="shared" si="7"/>
        <v>58</v>
      </c>
    </row>
    <row r="29" spans="1:26" ht="18.75" x14ac:dyDescent="0.4">
      <c r="A29" s="61" t="s">
        <v>297</v>
      </c>
      <c r="B29" s="62">
        <f t="shared" si="7"/>
        <v>32</v>
      </c>
    </row>
    <row r="30" spans="1:26" ht="18.75" x14ac:dyDescent="0.4">
      <c r="A30" s="61" t="s">
        <v>261</v>
      </c>
      <c r="B30" s="62">
        <f t="shared" si="7"/>
        <v>30</v>
      </c>
    </row>
    <row r="31" spans="1:26" ht="18.75" x14ac:dyDescent="0.4">
      <c r="A31" s="61" t="s">
        <v>362</v>
      </c>
      <c r="B31" s="62">
        <f t="shared" si="7"/>
        <v>26</v>
      </c>
    </row>
    <row r="32" spans="1:26" ht="18.75" x14ac:dyDescent="0.4">
      <c r="A32" s="61" t="s">
        <v>363</v>
      </c>
      <c r="B32" s="62">
        <f t="shared" si="7"/>
        <v>13</v>
      </c>
    </row>
    <row r="33" spans="1:2" ht="18.75" x14ac:dyDescent="0.4">
      <c r="A33" s="66" t="s">
        <v>265</v>
      </c>
      <c r="B33" s="62">
        <f t="shared" si="7"/>
        <v>1</v>
      </c>
    </row>
    <row r="34" spans="1:2" ht="18.75" x14ac:dyDescent="0.4">
      <c r="A34" s="66" t="s">
        <v>364</v>
      </c>
      <c r="B34" s="62">
        <f t="shared" si="7"/>
        <v>0</v>
      </c>
    </row>
    <row r="35" spans="1:2" x14ac:dyDescent="0.25">
      <c r="A35" s="69"/>
      <c r="B35" s="71"/>
    </row>
  </sheetData>
  <sortState xmlns:xlrd2="http://schemas.microsoft.com/office/spreadsheetml/2017/richdata2" ref="A3:P23">
    <sortCondition descending="1" ref="L3:L23"/>
  </sortState>
  <conditionalFormatting sqref="A4:K23">
    <cfRule type="containsText" dxfId="17" priority="1" operator="containsText" text="DNF">
      <formula>NOT(ISERROR(SEARCH("DNF",A4)))</formula>
    </cfRule>
    <cfRule type="cellIs" dxfId="16" priority="2" operator="equal">
      <formula>9</formula>
    </cfRule>
  </conditionalFormatting>
  <conditionalFormatting sqref="T3:T24">
    <cfRule type="cellIs" dxfId="15" priority="5" operator="lessThan">
      <formula>7</formula>
    </cfRule>
  </conditionalFormatting>
  <conditionalFormatting sqref="T4:T24">
    <cfRule type="cellIs" dxfId="14" priority="7" operator="equal">
      <formula>1</formula>
    </cfRule>
  </conditionalFormatting>
  <conditionalFormatting sqref="U4:U23">
    <cfRule type="containsText" dxfId="13" priority="6" operator="containsText" text="DNF">
      <formula>NOT(ISERROR(SEARCH("DNF",U4)))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5"/>
  <dimension ref="A1:AA32"/>
  <sheetViews>
    <sheetView zoomScale="80" zoomScaleNormal="80" workbookViewId="0">
      <pane ySplit="3" topLeftCell="A4" activePane="bottomLeft" state="frozen"/>
      <selection pane="bottomLeft" activeCell="D30" sqref="D30"/>
    </sheetView>
  </sheetViews>
  <sheetFormatPr defaultRowHeight="15" x14ac:dyDescent="0.25"/>
  <cols>
    <col min="1" max="1" width="27.7109375" customWidth="1"/>
    <col min="2" max="2" width="21" bestFit="1" customWidth="1"/>
    <col min="3" max="17" width="16" customWidth="1"/>
    <col min="18" max="18" width="13.7109375" customWidth="1"/>
    <col min="19" max="20" width="16" customWidth="1"/>
  </cols>
  <sheetData>
    <row r="1" spans="1:27" ht="21" x14ac:dyDescent="0.35">
      <c r="A1" s="1" t="s">
        <v>67</v>
      </c>
    </row>
    <row r="3" spans="1:27" ht="15.75" thickBot="1" x14ac:dyDescent="0.3">
      <c r="A3" s="74" t="s">
        <v>6</v>
      </c>
      <c r="B3" s="16" t="s">
        <v>7</v>
      </c>
      <c r="C3" s="16" t="s">
        <v>140</v>
      </c>
      <c r="D3" s="16" t="s">
        <v>143</v>
      </c>
      <c r="E3" s="16" t="s">
        <v>197</v>
      </c>
      <c r="F3" s="16" t="s">
        <v>144</v>
      </c>
      <c r="G3" s="16" t="s">
        <v>139</v>
      </c>
      <c r="H3" s="16" t="s">
        <v>160</v>
      </c>
      <c r="I3" s="16" t="s">
        <v>145</v>
      </c>
      <c r="J3" s="16" t="s">
        <v>279</v>
      </c>
      <c r="K3" s="16" t="s">
        <v>365</v>
      </c>
      <c r="L3" s="16" t="s">
        <v>301</v>
      </c>
      <c r="M3" s="16" t="s">
        <v>18</v>
      </c>
      <c r="N3" s="17" t="s">
        <v>276</v>
      </c>
      <c r="O3" s="17" t="s">
        <v>277</v>
      </c>
      <c r="P3" s="17" t="s">
        <v>278</v>
      </c>
      <c r="Q3" s="17" t="s">
        <v>19</v>
      </c>
      <c r="R3" s="17" t="s">
        <v>158</v>
      </c>
      <c r="S3" s="16" t="s">
        <v>20</v>
      </c>
      <c r="T3" s="16" t="s">
        <v>21</v>
      </c>
      <c r="U3" s="16" t="s">
        <v>22</v>
      </c>
      <c r="V3" s="50" t="s">
        <v>187</v>
      </c>
    </row>
    <row r="4" spans="1:27" ht="20.25" thickTop="1" thickBot="1" x14ac:dyDescent="0.45">
      <c r="A4" s="26" t="s">
        <v>281</v>
      </c>
      <c r="B4" s="26" t="s">
        <v>297</v>
      </c>
      <c r="C4" s="26">
        <v>9</v>
      </c>
      <c r="D4" s="26">
        <v>9</v>
      </c>
      <c r="E4" s="26">
        <v>9</v>
      </c>
      <c r="F4" s="26">
        <v>9</v>
      </c>
      <c r="G4" s="26">
        <v>9</v>
      </c>
      <c r="H4" s="26">
        <v>9</v>
      </c>
      <c r="I4" s="26">
        <v>9</v>
      </c>
      <c r="J4" s="26">
        <v>9</v>
      </c>
      <c r="K4" s="26">
        <v>9</v>
      </c>
      <c r="L4" s="26">
        <v>6</v>
      </c>
      <c r="M4" s="38">
        <f>SUM(C4:L4)</f>
        <v>87</v>
      </c>
      <c r="N4" s="27">
        <v>10</v>
      </c>
      <c r="O4" s="27">
        <v>9</v>
      </c>
      <c r="P4" s="27">
        <v>10</v>
      </c>
      <c r="Q4" s="27">
        <f>N4+O4+P4+69</f>
        <v>98</v>
      </c>
      <c r="R4" s="21">
        <f>Q4*$Q$21</f>
        <v>150234</v>
      </c>
      <c r="S4" s="20">
        <f ca="1">Q4+RAND()*6</f>
        <v>103.43550982658364</v>
      </c>
      <c r="T4" s="20">
        <f ca="1">Q4+S4</f>
        <v>201.43550982658365</v>
      </c>
      <c r="U4" s="49">
        <f ca="1">RANK(T4,$T$4:$T$20,0)</f>
        <v>1</v>
      </c>
      <c r="V4" s="51" t="str">
        <f ca="1">IF(RAND()&lt;0.2-(O4)/50,"DNF","OK")</f>
        <v>OK</v>
      </c>
    </row>
    <row r="5" spans="1:27" ht="20.25" thickTop="1" thickBot="1" x14ac:dyDescent="0.45">
      <c r="A5" s="26" t="s">
        <v>258</v>
      </c>
      <c r="B5" s="26" t="s">
        <v>262</v>
      </c>
      <c r="C5" s="26">
        <v>6</v>
      </c>
      <c r="D5" s="26">
        <v>6</v>
      </c>
      <c r="E5" s="26">
        <v>6</v>
      </c>
      <c r="F5" s="26">
        <v>6</v>
      </c>
      <c r="G5" s="26">
        <v>6</v>
      </c>
      <c r="H5" s="26">
        <v>6</v>
      </c>
      <c r="I5" s="26">
        <v>6</v>
      </c>
      <c r="J5" s="26">
        <v>6</v>
      </c>
      <c r="K5" s="26">
        <v>6</v>
      </c>
      <c r="L5" s="26">
        <v>9</v>
      </c>
      <c r="M5" s="38">
        <f>SUM(C5:L5)</f>
        <v>63</v>
      </c>
      <c r="N5" s="27">
        <v>9</v>
      </c>
      <c r="O5" s="27">
        <v>8</v>
      </c>
      <c r="P5" s="27">
        <v>9</v>
      </c>
      <c r="Q5" s="27">
        <f>N5+O5+P5+69</f>
        <v>95</v>
      </c>
      <c r="R5" s="21">
        <f t="shared" ref="R5:R20" si="0">Q5*$Q$21</f>
        <v>145635</v>
      </c>
      <c r="S5" s="20">
        <f t="shared" ref="S5:S20" ca="1" si="1">Q5+RAND()*6</f>
        <v>100.48520536361016</v>
      </c>
      <c r="T5" s="20">
        <f t="shared" ref="T5:T20" ca="1" si="2">Q5+S5</f>
        <v>195.48520536361016</v>
      </c>
      <c r="U5" s="49">
        <f t="shared" ref="U5:U20" ca="1" si="3">RANK(T5,$T$4:$T$20,0)</f>
        <v>2</v>
      </c>
      <c r="V5" s="51" t="str">
        <f ca="1">IF(RAND()&lt;0.2-(O5)/50,"DNF","OK")</f>
        <v>OK</v>
      </c>
    </row>
    <row r="6" spans="1:27" ht="20.25" thickTop="1" thickBot="1" x14ac:dyDescent="0.45">
      <c r="A6" s="26" t="s">
        <v>280</v>
      </c>
      <c r="B6" s="26" t="s">
        <v>262</v>
      </c>
      <c r="C6" s="26">
        <v>4</v>
      </c>
      <c r="D6" s="26">
        <v>1</v>
      </c>
      <c r="E6" s="26">
        <v>2</v>
      </c>
      <c r="F6" s="26" t="s">
        <v>188</v>
      </c>
      <c r="G6" s="26">
        <v>4</v>
      </c>
      <c r="H6" s="26">
        <v>3</v>
      </c>
      <c r="I6" s="26">
        <v>4</v>
      </c>
      <c r="J6" s="26">
        <v>4</v>
      </c>
      <c r="K6" s="26">
        <v>3</v>
      </c>
      <c r="L6" s="26">
        <v>1</v>
      </c>
      <c r="M6" s="38">
        <f>SUM(C6:L6)</f>
        <v>26</v>
      </c>
      <c r="N6" s="27">
        <v>8</v>
      </c>
      <c r="O6" s="27">
        <v>8</v>
      </c>
      <c r="P6" s="27">
        <v>8</v>
      </c>
      <c r="Q6" s="27">
        <f>N6+O6+P6+69</f>
        <v>93</v>
      </c>
      <c r="R6" s="21">
        <f t="shared" si="0"/>
        <v>142569</v>
      </c>
      <c r="S6" s="20">
        <f t="shared" ca="1" si="1"/>
        <v>93.292006985398842</v>
      </c>
      <c r="T6" s="20">
        <f t="shared" ca="1" si="2"/>
        <v>186.29200698539884</v>
      </c>
      <c r="U6" s="49">
        <f t="shared" ca="1" si="3"/>
        <v>6</v>
      </c>
      <c r="V6" s="51" t="str">
        <f t="shared" ref="V6:V20" ca="1" si="4">IF(RAND()&lt;0.2-(O6)/50,"DNF","OK")</f>
        <v>OK</v>
      </c>
    </row>
    <row r="7" spans="1:27" ht="20.25" thickTop="1" thickBot="1" x14ac:dyDescent="0.45">
      <c r="A7" s="26" t="s">
        <v>257</v>
      </c>
      <c r="B7" s="26" t="s">
        <v>298</v>
      </c>
      <c r="C7" s="26">
        <v>0</v>
      </c>
      <c r="D7" s="26">
        <v>3</v>
      </c>
      <c r="E7" s="26">
        <v>3</v>
      </c>
      <c r="F7" s="26">
        <v>4</v>
      </c>
      <c r="G7" s="26" t="s">
        <v>188</v>
      </c>
      <c r="H7" s="26">
        <v>4</v>
      </c>
      <c r="I7" s="26">
        <v>1</v>
      </c>
      <c r="J7" s="26" t="s">
        <v>188</v>
      </c>
      <c r="K7" s="26">
        <v>4</v>
      </c>
      <c r="L7" s="26">
        <v>4</v>
      </c>
      <c r="M7" s="38">
        <f>SUM(C7:L7)</f>
        <v>23</v>
      </c>
      <c r="N7" s="27">
        <v>8</v>
      </c>
      <c r="O7" s="27">
        <v>7</v>
      </c>
      <c r="P7" s="27">
        <v>9</v>
      </c>
      <c r="Q7" s="27">
        <f>N7+O7+P7+69</f>
        <v>93</v>
      </c>
      <c r="R7" s="21">
        <f t="shared" si="0"/>
        <v>142569</v>
      </c>
      <c r="S7" s="20">
        <f t="shared" ca="1" si="1"/>
        <v>97.57966635650638</v>
      </c>
      <c r="T7" s="20">
        <f t="shared" ca="1" si="2"/>
        <v>190.57966635650638</v>
      </c>
      <c r="U7" s="49">
        <f t="shared" ca="1" si="3"/>
        <v>3</v>
      </c>
      <c r="V7" s="51" t="str">
        <f t="shared" ca="1" si="4"/>
        <v>OK</v>
      </c>
    </row>
    <row r="8" spans="1:27" ht="20.25" thickTop="1" thickBot="1" x14ac:dyDescent="0.45">
      <c r="A8" s="26" t="s">
        <v>282</v>
      </c>
      <c r="B8" s="26" t="s">
        <v>261</v>
      </c>
      <c r="C8" s="26">
        <v>3</v>
      </c>
      <c r="D8" s="26">
        <v>4</v>
      </c>
      <c r="E8" s="26">
        <v>0</v>
      </c>
      <c r="F8" s="26">
        <v>3</v>
      </c>
      <c r="G8" s="26">
        <v>3</v>
      </c>
      <c r="H8" s="26">
        <v>1</v>
      </c>
      <c r="I8" s="26">
        <v>2</v>
      </c>
      <c r="J8" s="26">
        <v>3</v>
      </c>
      <c r="K8" s="26">
        <v>1</v>
      </c>
      <c r="L8" s="26">
        <v>2</v>
      </c>
      <c r="M8" s="38">
        <f>SUM(C8:L8)</f>
        <v>22</v>
      </c>
      <c r="N8" s="27">
        <v>8</v>
      </c>
      <c r="O8" s="27">
        <v>7</v>
      </c>
      <c r="P8" s="27">
        <v>9</v>
      </c>
      <c r="Q8" s="27">
        <f>N8+O8+P8+69</f>
        <v>93</v>
      </c>
      <c r="R8" s="21">
        <f t="shared" si="0"/>
        <v>142569</v>
      </c>
      <c r="S8" s="20">
        <f t="shared" ca="1" si="1"/>
        <v>93.488153372288849</v>
      </c>
      <c r="T8" s="20">
        <f t="shared" ca="1" si="2"/>
        <v>186.48815337228885</v>
      </c>
      <c r="U8" s="49">
        <f t="shared" ca="1" si="3"/>
        <v>5</v>
      </c>
      <c r="V8" s="51" t="str">
        <f t="shared" ca="1" si="4"/>
        <v>OK</v>
      </c>
    </row>
    <row r="9" spans="1:27" ht="20.25" thickTop="1" thickBot="1" x14ac:dyDescent="0.45">
      <c r="A9" s="26" t="s">
        <v>246</v>
      </c>
      <c r="B9" s="26" t="s">
        <v>363</v>
      </c>
      <c r="C9" s="26">
        <v>1</v>
      </c>
      <c r="D9" s="26">
        <v>2</v>
      </c>
      <c r="E9" s="26">
        <v>4</v>
      </c>
      <c r="F9" s="26">
        <v>2</v>
      </c>
      <c r="G9" s="26">
        <v>2</v>
      </c>
      <c r="H9" s="26">
        <v>2</v>
      </c>
      <c r="I9" s="26">
        <v>3</v>
      </c>
      <c r="J9" s="26">
        <v>2</v>
      </c>
      <c r="K9" s="26">
        <v>2</v>
      </c>
      <c r="L9" s="26">
        <v>0</v>
      </c>
      <c r="M9" s="38">
        <f>SUM(C9:L9)</f>
        <v>20</v>
      </c>
      <c r="N9" s="27">
        <v>8</v>
      </c>
      <c r="O9" s="27">
        <v>6</v>
      </c>
      <c r="P9" s="27">
        <v>10</v>
      </c>
      <c r="Q9" s="27">
        <f>N9+O9+P9+69</f>
        <v>93</v>
      </c>
      <c r="R9" s="21">
        <f t="shared" si="0"/>
        <v>142569</v>
      </c>
      <c r="S9" s="20">
        <f t="shared" ca="1" si="1"/>
        <v>95.803671477592545</v>
      </c>
      <c r="T9" s="20">
        <f t="shared" ca="1" si="2"/>
        <v>188.80367147759256</v>
      </c>
      <c r="U9" s="49">
        <f t="shared" ca="1" si="3"/>
        <v>4</v>
      </c>
      <c r="V9" s="51" t="str">
        <f t="shared" ca="1" si="4"/>
        <v>OK</v>
      </c>
      <c r="Z9">
        <v>1</v>
      </c>
      <c r="AA9">
        <v>9</v>
      </c>
    </row>
    <row r="10" spans="1:27" ht="20.25" thickTop="1" thickBot="1" x14ac:dyDescent="0.45">
      <c r="A10" s="26" t="s">
        <v>271</v>
      </c>
      <c r="B10" s="26" t="s">
        <v>363</v>
      </c>
      <c r="C10" s="26">
        <v>2</v>
      </c>
      <c r="D10" s="26">
        <v>0</v>
      </c>
      <c r="E10" s="26">
        <v>1</v>
      </c>
      <c r="F10" s="26" t="s">
        <v>188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3</v>
      </c>
      <c r="M10" s="38">
        <f>SUM(C10:L10)</f>
        <v>6</v>
      </c>
      <c r="N10" s="27">
        <v>8</v>
      </c>
      <c r="O10" s="27">
        <v>7</v>
      </c>
      <c r="P10" s="27">
        <v>8</v>
      </c>
      <c r="Q10" s="27">
        <f>N10+O10+P10+69</f>
        <v>92</v>
      </c>
      <c r="R10" s="21">
        <f t="shared" si="0"/>
        <v>141036</v>
      </c>
      <c r="S10" s="20">
        <f t="shared" ca="1" si="1"/>
        <v>94.206589023615408</v>
      </c>
      <c r="T10" s="20">
        <f t="shared" ca="1" si="2"/>
        <v>186.20658902361541</v>
      </c>
      <c r="U10" s="49">
        <f t="shared" ca="1" si="3"/>
        <v>7</v>
      </c>
      <c r="V10" s="51" t="str">
        <f t="shared" ca="1" si="4"/>
        <v>OK</v>
      </c>
      <c r="Z10">
        <v>2</v>
      </c>
      <c r="AA10">
        <v>6</v>
      </c>
    </row>
    <row r="11" spans="1:27" ht="20.25" thickTop="1" thickBot="1" x14ac:dyDescent="0.45">
      <c r="A11" s="26" t="s">
        <v>273</v>
      </c>
      <c r="B11" s="26" t="s">
        <v>364</v>
      </c>
      <c r="C11" s="26">
        <v>0</v>
      </c>
      <c r="D11" s="26">
        <v>0</v>
      </c>
      <c r="E11" s="26">
        <v>0</v>
      </c>
      <c r="F11" s="26">
        <v>0</v>
      </c>
      <c r="G11" s="26">
        <v>1</v>
      </c>
      <c r="H11" s="26">
        <v>0</v>
      </c>
      <c r="I11" s="26">
        <v>0</v>
      </c>
      <c r="J11" s="26">
        <v>1</v>
      </c>
      <c r="K11" s="26">
        <v>0</v>
      </c>
      <c r="L11" s="40" t="s">
        <v>157</v>
      </c>
      <c r="M11" s="38">
        <f>SUM(C11:L11)</f>
        <v>2</v>
      </c>
      <c r="N11" s="27">
        <v>6</v>
      </c>
      <c r="O11" s="27">
        <v>8</v>
      </c>
      <c r="P11" s="27">
        <v>7</v>
      </c>
      <c r="Q11" s="27">
        <f>N11+O11+P11+69</f>
        <v>90</v>
      </c>
      <c r="R11" s="21">
        <f t="shared" si="0"/>
        <v>137970</v>
      </c>
      <c r="S11" s="20">
        <f t="shared" ca="1" si="1"/>
        <v>93.469362513384624</v>
      </c>
      <c r="T11" s="20">
        <f t="shared" ca="1" si="2"/>
        <v>183.46936251338462</v>
      </c>
      <c r="U11" s="49">
        <f t="shared" ca="1" si="3"/>
        <v>8</v>
      </c>
      <c r="V11" s="51" t="str">
        <f t="shared" ca="1" si="4"/>
        <v>OK</v>
      </c>
      <c r="Z11">
        <v>3</v>
      </c>
      <c r="AA11">
        <v>4</v>
      </c>
    </row>
    <row r="12" spans="1:27" ht="20.25" thickTop="1" thickBot="1" x14ac:dyDescent="0.45">
      <c r="A12" s="26" t="s">
        <v>296</v>
      </c>
      <c r="B12" s="26" t="s">
        <v>261</v>
      </c>
      <c r="C12" s="26">
        <v>0</v>
      </c>
      <c r="D12" s="40" t="s">
        <v>157</v>
      </c>
      <c r="E12" s="26">
        <v>0</v>
      </c>
      <c r="F12" s="26">
        <v>1</v>
      </c>
      <c r="G12" s="26">
        <v>0</v>
      </c>
      <c r="H12" s="26">
        <v>0</v>
      </c>
      <c r="I12" s="26">
        <v>0</v>
      </c>
      <c r="J12" s="26" t="s">
        <v>188</v>
      </c>
      <c r="K12" s="26">
        <v>0</v>
      </c>
      <c r="L12" s="26">
        <v>0</v>
      </c>
      <c r="M12" s="38">
        <f>SUM(C12:L12)</f>
        <v>1</v>
      </c>
      <c r="N12" s="27">
        <v>7</v>
      </c>
      <c r="O12" s="27">
        <v>6</v>
      </c>
      <c r="P12" s="27">
        <v>8</v>
      </c>
      <c r="Q12" s="27">
        <f>N12+O12+P12+69</f>
        <v>90</v>
      </c>
      <c r="R12" s="21">
        <f t="shared" si="0"/>
        <v>137970</v>
      </c>
      <c r="S12" s="20">
        <f t="shared" ca="1" si="1"/>
        <v>90.456853687060502</v>
      </c>
      <c r="T12" s="20">
        <f t="shared" ca="1" si="2"/>
        <v>180.45685368706052</v>
      </c>
      <c r="U12" s="49">
        <f t="shared" ca="1" si="3"/>
        <v>10</v>
      </c>
      <c r="V12" s="51" t="str">
        <f t="shared" ca="1" si="4"/>
        <v>OK</v>
      </c>
      <c r="Z12">
        <v>4</v>
      </c>
      <c r="AA12">
        <v>3</v>
      </c>
    </row>
    <row r="13" spans="1:27" ht="20.25" thickTop="1" thickBot="1" x14ac:dyDescent="0.45">
      <c r="A13" s="26" t="s">
        <v>357</v>
      </c>
      <c r="B13" s="26" t="s">
        <v>298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38">
        <f>SUM(C13:L13)</f>
        <v>0</v>
      </c>
      <c r="N13" s="27">
        <v>7</v>
      </c>
      <c r="O13" s="27">
        <v>7</v>
      </c>
      <c r="P13" s="27">
        <v>7</v>
      </c>
      <c r="Q13" s="27">
        <f>N13+O13+P13+69</f>
        <v>90</v>
      </c>
      <c r="R13" s="21">
        <f t="shared" si="0"/>
        <v>137970</v>
      </c>
      <c r="S13" s="20">
        <f ca="1">Q13+RAND()*6</f>
        <v>92.051201843689057</v>
      </c>
      <c r="T13" s="20">
        <f t="shared" ca="1" si="2"/>
        <v>182.05120184368906</v>
      </c>
      <c r="U13" s="49">
        <f t="shared" ca="1" si="3"/>
        <v>9</v>
      </c>
      <c r="V13" s="51" t="str">
        <f t="shared" ca="1" si="4"/>
        <v>OK</v>
      </c>
      <c r="Z13">
        <v>5</v>
      </c>
      <c r="AA13">
        <v>2</v>
      </c>
    </row>
    <row r="14" spans="1:27" ht="20.25" thickTop="1" thickBot="1" x14ac:dyDescent="0.45">
      <c r="A14" s="26" t="s">
        <v>247</v>
      </c>
      <c r="B14" s="26" t="s">
        <v>298</v>
      </c>
      <c r="C14" s="26">
        <v>0</v>
      </c>
      <c r="D14" s="26">
        <v>0</v>
      </c>
      <c r="E14" s="26">
        <v>0</v>
      </c>
      <c r="F14" s="26">
        <v>0</v>
      </c>
      <c r="G14" s="26" t="s">
        <v>188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38">
        <f>SUM(C14:L14)</f>
        <v>0</v>
      </c>
      <c r="N14" s="27">
        <v>7</v>
      </c>
      <c r="O14" s="27">
        <v>6</v>
      </c>
      <c r="P14" s="27">
        <v>5</v>
      </c>
      <c r="Q14" s="27">
        <f>N14+O14+P14+69</f>
        <v>87</v>
      </c>
      <c r="R14" s="21">
        <f t="shared" si="0"/>
        <v>133371</v>
      </c>
      <c r="S14" s="20">
        <f t="shared" ca="1" si="1"/>
        <v>89.021127047969912</v>
      </c>
      <c r="T14" s="20">
        <f t="shared" ca="1" si="2"/>
        <v>176.02112704796991</v>
      </c>
      <c r="U14" s="49">
        <f t="shared" ca="1" si="3"/>
        <v>14</v>
      </c>
      <c r="V14" s="51" t="str">
        <f t="shared" ca="1" si="4"/>
        <v>OK</v>
      </c>
      <c r="Z14">
        <v>6</v>
      </c>
      <c r="AA14">
        <v>1</v>
      </c>
    </row>
    <row r="15" spans="1:27" ht="20.25" thickTop="1" thickBot="1" x14ac:dyDescent="0.45">
      <c r="A15" s="26" t="s">
        <v>366</v>
      </c>
      <c r="B15" s="26" t="s">
        <v>265</v>
      </c>
      <c r="C15" s="40" t="s">
        <v>157</v>
      </c>
      <c r="D15" s="40" t="s">
        <v>157</v>
      </c>
      <c r="E15" s="26">
        <v>0</v>
      </c>
      <c r="F15" s="40" t="s">
        <v>157</v>
      </c>
      <c r="G15" s="40" t="s">
        <v>157</v>
      </c>
      <c r="H15" s="26">
        <v>0</v>
      </c>
      <c r="I15" s="26">
        <v>0</v>
      </c>
      <c r="J15" s="40" t="s">
        <v>157</v>
      </c>
      <c r="K15" s="40" t="s">
        <v>157</v>
      </c>
      <c r="L15" s="40" t="s">
        <v>157</v>
      </c>
      <c r="M15" s="38">
        <f>SUM(C15:L15)</f>
        <v>0</v>
      </c>
      <c r="N15" s="27">
        <v>6</v>
      </c>
      <c r="O15" s="27">
        <v>6</v>
      </c>
      <c r="P15" s="27">
        <v>6</v>
      </c>
      <c r="Q15" s="27">
        <f>N15+O15+P15+69</f>
        <v>87</v>
      </c>
      <c r="R15" s="21">
        <f t="shared" si="0"/>
        <v>133371</v>
      </c>
      <c r="S15" s="20">
        <f t="shared" ca="1" si="1"/>
        <v>88.272969448049238</v>
      </c>
      <c r="T15" s="20">
        <f t="shared" ca="1" si="2"/>
        <v>175.27296944804925</v>
      </c>
      <c r="U15" s="49">
        <f t="shared" ca="1" si="3"/>
        <v>16</v>
      </c>
      <c r="V15" s="51" t="str">
        <f t="shared" ca="1" si="4"/>
        <v>OK</v>
      </c>
      <c r="Z15">
        <v>7</v>
      </c>
      <c r="AA15">
        <v>0</v>
      </c>
    </row>
    <row r="16" spans="1:27" ht="20.25" thickTop="1" thickBot="1" x14ac:dyDescent="0.45">
      <c r="A16" s="26" t="s">
        <v>367</v>
      </c>
      <c r="B16" s="26" t="s">
        <v>364</v>
      </c>
      <c r="C16" s="26">
        <v>0</v>
      </c>
      <c r="D16" s="26">
        <v>0</v>
      </c>
      <c r="E16" s="26">
        <v>0</v>
      </c>
      <c r="F16" s="26" t="s">
        <v>188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38">
        <f>SUM(C16:L16)</f>
        <v>0</v>
      </c>
      <c r="N16" s="27">
        <v>6</v>
      </c>
      <c r="O16" s="27">
        <v>7</v>
      </c>
      <c r="P16" s="27">
        <v>6</v>
      </c>
      <c r="Q16" s="27">
        <f>N16+O16+P16+69</f>
        <v>88</v>
      </c>
      <c r="R16" s="21">
        <f t="shared" si="0"/>
        <v>134904</v>
      </c>
      <c r="S16" s="20">
        <f t="shared" ca="1" si="1"/>
        <v>91.566806693885141</v>
      </c>
      <c r="T16" s="20">
        <f t="shared" ca="1" si="2"/>
        <v>179.56680669388516</v>
      </c>
      <c r="U16" s="49">
        <f t="shared" ca="1" si="3"/>
        <v>12</v>
      </c>
      <c r="V16" s="51" t="str">
        <f t="shared" ca="1" si="4"/>
        <v>OK</v>
      </c>
      <c r="Z16">
        <v>8</v>
      </c>
      <c r="AA16">
        <v>0</v>
      </c>
    </row>
    <row r="17" spans="1:27" ht="20.25" thickTop="1" thickBot="1" x14ac:dyDescent="0.45">
      <c r="A17" s="26" t="s">
        <v>295</v>
      </c>
      <c r="B17" s="26" t="s">
        <v>265</v>
      </c>
      <c r="C17" s="40" t="s">
        <v>157</v>
      </c>
      <c r="D17" s="26">
        <v>0</v>
      </c>
      <c r="E17" s="26">
        <v>0</v>
      </c>
      <c r="F17" s="40" t="s">
        <v>157</v>
      </c>
      <c r="G17" s="26">
        <v>0</v>
      </c>
      <c r="H17" s="26">
        <v>0</v>
      </c>
      <c r="I17" s="26" t="s">
        <v>188</v>
      </c>
      <c r="J17" s="26">
        <v>0</v>
      </c>
      <c r="K17" s="26">
        <v>0</v>
      </c>
      <c r="L17" s="26">
        <v>0</v>
      </c>
      <c r="M17" s="38">
        <f>SUM(C17:L17)</f>
        <v>0</v>
      </c>
      <c r="N17" s="27">
        <v>6</v>
      </c>
      <c r="O17" s="27">
        <v>5</v>
      </c>
      <c r="P17" s="27">
        <v>6</v>
      </c>
      <c r="Q17" s="27">
        <f>N17+O17+P17+69</f>
        <v>86</v>
      </c>
      <c r="R17" s="21">
        <f t="shared" si="0"/>
        <v>131838</v>
      </c>
      <c r="S17" s="20">
        <f t="shared" ca="1" si="1"/>
        <v>89.312151191550797</v>
      </c>
      <c r="T17" s="20">
        <f t="shared" ca="1" si="2"/>
        <v>175.31215119155081</v>
      </c>
      <c r="U17" s="49">
        <f t="shared" ca="1" si="3"/>
        <v>15</v>
      </c>
      <c r="V17" s="51" t="str">
        <f t="shared" ca="1" si="4"/>
        <v>OK</v>
      </c>
      <c r="Z17">
        <v>9</v>
      </c>
      <c r="AA17">
        <v>0</v>
      </c>
    </row>
    <row r="18" spans="1:27" ht="20.25" thickTop="1" thickBot="1" x14ac:dyDescent="0.45">
      <c r="A18" s="26" t="s">
        <v>368</v>
      </c>
      <c r="B18" s="26" t="s">
        <v>364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40" t="s">
        <v>157</v>
      </c>
      <c r="M18" s="38">
        <f>SUM(C18:L18)</f>
        <v>0</v>
      </c>
      <c r="N18" s="27">
        <v>7</v>
      </c>
      <c r="O18" s="27">
        <v>6</v>
      </c>
      <c r="P18" s="27">
        <v>7</v>
      </c>
      <c r="Q18" s="27">
        <f>N18+O18+P18+69</f>
        <v>89</v>
      </c>
      <c r="R18" s="21">
        <f t="shared" si="0"/>
        <v>136437</v>
      </c>
      <c r="S18" s="20">
        <f t="shared" ca="1" si="1"/>
        <v>90.288229552712409</v>
      </c>
      <c r="T18" s="20">
        <f t="shared" ca="1" si="2"/>
        <v>179.28822955271241</v>
      </c>
      <c r="U18" s="49">
        <f t="shared" ca="1" si="3"/>
        <v>13</v>
      </c>
      <c r="V18" s="51" t="str">
        <f t="shared" ca="1" si="4"/>
        <v>OK</v>
      </c>
      <c r="Z18">
        <v>10</v>
      </c>
      <c r="AA18">
        <v>0</v>
      </c>
    </row>
    <row r="19" spans="1:27" ht="20.25" thickTop="1" thickBot="1" x14ac:dyDescent="0.45">
      <c r="A19" s="26" t="s">
        <v>358</v>
      </c>
      <c r="B19" s="26" t="s">
        <v>297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 t="s">
        <v>188</v>
      </c>
      <c r="I19" s="40" t="s">
        <v>157</v>
      </c>
      <c r="J19" s="26">
        <v>0</v>
      </c>
      <c r="K19" s="26">
        <v>0</v>
      </c>
      <c r="L19" s="26">
        <v>0</v>
      </c>
      <c r="M19" s="38">
        <f>SUM(C19:L19)</f>
        <v>0</v>
      </c>
      <c r="N19" s="27">
        <v>5</v>
      </c>
      <c r="O19" s="27">
        <v>4</v>
      </c>
      <c r="P19" s="27">
        <v>3</v>
      </c>
      <c r="Q19" s="27">
        <f>N19+O19+P19+69</f>
        <v>81</v>
      </c>
      <c r="R19" s="21">
        <f t="shared" si="0"/>
        <v>124173</v>
      </c>
      <c r="S19" s="20">
        <f t="shared" ca="1" si="1"/>
        <v>86.031339417734756</v>
      </c>
      <c r="T19" s="20">
        <f t="shared" ca="1" si="2"/>
        <v>167.03133941773476</v>
      </c>
      <c r="U19" s="49">
        <f t="shared" ca="1" si="3"/>
        <v>17</v>
      </c>
      <c r="V19" s="51" t="str">
        <f t="shared" ca="1" si="4"/>
        <v>OK</v>
      </c>
    </row>
    <row r="20" spans="1:27" ht="19.5" thickTop="1" x14ac:dyDescent="0.4">
      <c r="A20" s="26" t="s">
        <v>369</v>
      </c>
      <c r="B20" s="26" t="s">
        <v>261</v>
      </c>
      <c r="C20" s="40" t="s">
        <v>157</v>
      </c>
      <c r="D20" s="26">
        <v>0</v>
      </c>
      <c r="E20" s="26">
        <v>0</v>
      </c>
      <c r="F20" s="26">
        <v>0</v>
      </c>
      <c r="G20" s="40" t="s">
        <v>157</v>
      </c>
      <c r="H20" s="40" t="s">
        <v>157</v>
      </c>
      <c r="I20" s="40" t="s">
        <v>157</v>
      </c>
      <c r="J20" s="40" t="s">
        <v>157</v>
      </c>
      <c r="K20" s="40" t="s">
        <v>157</v>
      </c>
      <c r="L20" s="40" t="s">
        <v>157</v>
      </c>
      <c r="M20" s="38">
        <f>SUM(C20:L20)</f>
        <v>0</v>
      </c>
      <c r="N20" s="27">
        <v>5</v>
      </c>
      <c r="O20" s="27">
        <v>6</v>
      </c>
      <c r="P20" s="27">
        <v>8</v>
      </c>
      <c r="Q20" s="27">
        <f>N20+O20+P20+69</f>
        <v>88</v>
      </c>
      <c r="R20" s="21">
        <f t="shared" si="0"/>
        <v>134904</v>
      </c>
      <c r="S20" s="20">
        <f t="shared" ca="1" si="1"/>
        <v>92.325912440898989</v>
      </c>
      <c r="T20" s="20">
        <f t="shared" ca="1" si="2"/>
        <v>180.325912440899</v>
      </c>
      <c r="U20" s="49">
        <f t="shared" ca="1" si="3"/>
        <v>11</v>
      </c>
      <c r="V20" s="51" t="str">
        <f t="shared" ca="1" si="4"/>
        <v>OK</v>
      </c>
    </row>
    <row r="21" spans="1:27" ht="15.75" x14ac:dyDescent="0.25">
      <c r="Q21" s="63">
        <f>SUM(Q4:Q20)</f>
        <v>1533</v>
      </c>
      <c r="R21" s="9"/>
      <c r="U21" s="64"/>
    </row>
    <row r="25" spans="1:27" ht="18.75" x14ac:dyDescent="0.4">
      <c r="A25" s="75" t="s">
        <v>262</v>
      </c>
      <c r="B25" s="70">
        <f>SUMIF($B$4:$B$20,A25,$M$4:$M$20)</f>
        <v>89</v>
      </c>
    </row>
    <row r="26" spans="1:27" ht="18.75" x14ac:dyDescent="0.4">
      <c r="A26" s="61" t="s">
        <v>297</v>
      </c>
      <c r="B26" s="70">
        <f>SUMIF($B$4:$B$20,A26,$M$4:$M$20)</f>
        <v>87</v>
      </c>
    </row>
    <row r="27" spans="1:27" ht="18.75" x14ac:dyDescent="0.4">
      <c r="A27" s="61" t="s">
        <v>363</v>
      </c>
      <c r="B27" s="70">
        <f>SUMIF($B$4:$B$20,A27,$M$4:$M$20)</f>
        <v>26</v>
      </c>
    </row>
    <row r="28" spans="1:27" ht="18.75" x14ac:dyDescent="0.4">
      <c r="A28" s="61" t="s">
        <v>261</v>
      </c>
      <c r="B28" s="70">
        <f>SUMIF($B$4:$B$20,A28,$M$4:$M$20)</f>
        <v>23</v>
      </c>
    </row>
    <row r="29" spans="1:27" ht="18.75" x14ac:dyDescent="0.4">
      <c r="A29" s="61" t="s">
        <v>298</v>
      </c>
      <c r="B29" s="70">
        <f>SUMIF($B$4:$B$20,A29,$M$4:$M$20)</f>
        <v>23</v>
      </c>
    </row>
    <row r="30" spans="1:27" ht="18.75" x14ac:dyDescent="0.4">
      <c r="A30" s="61" t="s">
        <v>364</v>
      </c>
      <c r="B30" s="70">
        <f>SUMIF($B$4:$B$20,A30,$M$4:$M$20)</f>
        <v>2</v>
      </c>
    </row>
    <row r="31" spans="1:27" ht="18.75" x14ac:dyDescent="0.4">
      <c r="A31" s="66" t="s">
        <v>370</v>
      </c>
      <c r="B31" s="70">
        <f>SUMIF($B$4:$B$20,A31,$M$4:$M$20)</f>
        <v>0</v>
      </c>
    </row>
    <row r="32" spans="1:27" ht="18.75" x14ac:dyDescent="0.4">
      <c r="A32" s="66" t="s">
        <v>265</v>
      </c>
      <c r="B32" s="70">
        <f>SUMIF($B$4:$B$20,A32,$M$4:$M$20)</f>
        <v>0</v>
      </c>
    </row>
  </sheetData>
  <sortState xmlns:xlrd2="http://schemas.microsoft.com/office/spreadsheetml/2017/richdata2" ref="A25:B32">
    <sortCondition descending="1" ref="B25:B32"/>
  </sortState>
  <conditionalFormatting sqref="A4:B20">
    <cfRule type="containsText" dxfId="12" priority="6" operator="containsText" text="DNF">
      <formula>NOT(ISERROR(SEARCH("DNF",A4)))</formula>
    </cfRule>
    <cfRule type="cellIs" dxfId="11" priority="7" operator="equal">
      <formula>9</formula>
    </cfRule>
  </conditionalFormatting>
  <conditionalFormatting sqref="C4:L20">
    <cfRule type="containsText" dxfId="10" priority="4" operator="containsText" text="DNF">
      <formula>NOT(ISERROR(SEARCH("DNF",C4)))</formula>
    </cfRule>
    <cfRule type="cellIs" dxfId="9" priority="5" operator="equal">
      <formula>9</formula>
    </cfRule>
  </conditionalFormatting>
  <conditionalFormatting sqref="U3:U21">
    <cfRule type="cellIs" dxfId="8" priority="1" operator="lessThan">
      <formula>7</formula>
    </cfRule>
  </conditionalFormatting>
  <conditionalFormatting sqref="U4:U21">
    <cfRule type="cellIs" dxfId="7" priority="3" operator="equal">
      <formula>1</formula>
    </cfRule>
  </conditionalFormatting>
  <conditionalFormatting sqref="V4:V20">
    <cfRule type="containsText" dxfId="6" priority="2" operator="containsText" text="DNF">
      <formula>NOT(ISERROR(SEARCH("DNF",V4)))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68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25</v>
      </c>
      <c r="M4">
        <f t="shared" ref="M4:M23" ca="1" si="1">SUM(C4:L4)</f>
        <v>25</v>
      </c>
      <c r="N4">
        <v>80</v>
      </c>
      <c r="O4">
        <f t="shared" ref="O4:O23" ca="1" si="2">RANDBETWEEN(-15,15)</f>
        <v>15</v>
      </c>
      <c r="P4">
        <f t="shared" ref="P4:P23" ca="1" si="3">N4+O4</f>
        <v>95</v>
      </c>
      <c r="Q4">
        <f t="shared" ref="Q4:Q23" ca="1" si="4">RANK(P4,$P$4:$P$23,0)</f>
        <v>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6</v>
      </c>
      <c r="M5">
        <f t="shared" ca="1" si="1"/>
        <v>6</v>
      </c>
      <c r="N5">
        <v>80</v>
      </c>
      <c r="O5">
        <f t="shared" ca="1" si="2"/>
        <v>4</v>
      </c>
      <c r="P5">
        <f t="shared" ca="1" si="3"/>
        <v>84</v>
      </c>
      <c r="Q5">
        <f t="shared" ca="1" si="4"/>
        <v>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2</v>
      </c>
      <c r="M6">
        <f t="shared" ca="1" si="1"/>
        <v>2</v>
      </c>
      <c r="N6">
        <v>80</v>
      </c>
      <c r="O6">
        <f t="shared" ca="1" si="2"/>
        <v>1</v>
      </c>
      <c r="P6">
        <f t="shared" ca="1" si="3"/>
        <v>81</v>
      </c>
      <c r="Q6">
        <f t="shared" ca="1" si="4"/>
        <v>9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-15</v>
      </c>
      <c r="P7">
        <f t="shared" ca="1" si="3"/>
        <v>65</v>
      </c>
      <c r="Q7">
        <f t="shared" ca="1" si="4"/>
        <v>19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-6</v>
      </c>
      <c r="P8" s="2">
        <f t="shared" ca="1" si="3"/>
        <v>74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-14</v>
      </c>
      <c r="P9">
        <f t="shared" ca="1" si="3"/>
        <v>66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-7</v>
      </c>
      <c r="P10">
        <f t="shared" ca="1" si="3"/>
        <v>73</v>
      </c>
      <c r="Q10">
        <f t="shared" ca="1" si="4"/>
        <v>14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9</v>
      </c>
      <c r="P11">
        <f t="shared" ca="1" si="3"/>
        <v>89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</v>
      </c>
      <c r="M12">
        <f t="shared" ca="1" si="1"/>
        <v>1</v>
      </c>
      <c r="N12">
        <v>80</v>
      </c>
      <c r="O12">
        <f t="shared" ca="1" si="2"/>
        <v>-3</v>
      </c>
      <c r="P12">
        <f t="shared" ca="1" si="3"/>
        <v>77</v>
      </c>
      <c r="Q12">
        <f t="shared" ca="1" si="4"/>
        <v>10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-13</v>
      </c>
      <c r="P13">
        <f t="shared" ca="1" si="3"/>
        <v>67</v>
      </c>
      <c r="Q13">
        <f t="shared" ca="1" si="4"/>
        <v>17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8</v>
      </c>
      <c r="M14">
        <f t="shared" ca="1" si="1"/>
        <v>8</v>
      </c>
      <c r="N14">
        <v>80</v>
      </c>
      <c r="O14">
        <f t="shared" ca="1" si="2"/>
        <v>5</v>
      </c>
      <c r="P14">
        <f t="shared" ca="1" si="3"/>
        <v>85</v>
      </c>
      <c r="Q14">
        <f t="shared" ca="1" si="4"/>
        <v>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-3</v>
      </c>
      <c r="P15">
        <f t="shared" ca="1" si="3"/>
        <v>77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4</v>
      </c>
      <c r="M16">
        <f t="shared" ca="1" si="1"/>
        <v>4</v>
      </c>
      <c r="N16">
        <v>80</v>
      </c>
      <c r="O16">
        <f t="shared" ca="1" si="2"/>
        <v>2</v>
      </c>
      <c r="P16">
        <f t="shared" ca="1" si="3"/>
        <v>82</v>
      </c>
      <c r="Q16">
        <f t="shared" ca="1" si="4"/>
        <v>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-6</v>
      </c>
      <c r="P17">
        <f t="shared" ca="1" si="3"/>
        <v>74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12</v>
      </c>
      <c r="M18">
        <f t="shared" ca="1" si="1"/>
        <v>12</v>
      </c>
      <c r="N18">
        <v>80</v>
      </c>
      <c r="O18">
        <f t="shared" ca="1" si="2"/>
        <v>8</v>
      </c>
      <c r="P18">
        <f t="shared" ca="1" si="3"/>
        <v>88</v>
      </c>
      <c r="Q18">
        <f t="shared" ca="1" si="4"/>
        <v>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10</v>
      </c>
      <c r="M19">
        <f t="shared" ca="1" si="1"/>
        <v>10</v>
      </c>
      <c r="N19">
        <v>80</v>
      </c>
      <c r="O19">
        <f t="shared" ca="1" si="2"/>
        <v>6</v>
      </c>
      <c r="P19">
        <f t="shared" ca="1" si="3"/>
        <v>86</v>
      </c>
      <c r="Q19">
        <f t="shared" ca="1" si="4"/>
        <v>5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-8</v>
      </c>
      <c r="P20">
        <f t="shared" ca="1" si="3"/>
        <v>72</v>
      </c>
      <c r="Q20">
        <f t="shared" ca="1" si="4"/>
        <v>16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-7</v>
      </c>
      <c r="P21">
        <f t="shared" ca="1" si="3"/>
        <v>73</v>
      </c>
      <c r="Q21">
        <f t="shared" ca="1" si="4"/>
        <v>14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-15</v>
      </c>
      <c r="P22">
        <f t="shared" ca="1" si="3"/>
        <v>65</v>
      </c>
      <c r="Q22">
        <f t="shared" ca="1" si="4"/>
        <v>19</v>
      </c>
    </row>
    <row r="23" spans="1:20" x14ac:dyDescent="0.25">
      <c r="A23" t="s">
        <v>54</v>
      </c>
      <c r="B23" t="s">
        <v>37</v>
      </c>
      <c r="C23">
        <f t="shared" ca="1" si="0"/>
        <v>18</v>
      </c>
      <c r="M23">
        <f t="shared" ca="1" si="1"/>
        <v>18</v>
      </c>
      <c r="N23">
        <v>80</v>
      </c>
      <c r="O23">
        <f t="shared" ca="1" si="2"/>
        <v>12</v>
      </c>
      <c r="P23">
        <f t="shared" ca="1" si="3"/>
        <v>92</v>
      </c>
      <c r="Q23">
        <f t="shared" ca="1" si="4"/>
        <v>2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1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69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15</v>
      </c>
      <c r="M4">
        <f t="shared" ref="M4:M23" ca="1" si="1">SUM(C4:L4)</f>
        <v>15</v>
      </c>
      <c r="N4">
        <v>80</v>
      </c>
      <c r="O4">
        <f t="shared" ref="O4:O23" ca="1" si="2">RANDBETWEEN(-15,15)</f>
        <v>12</v>
      </c>
      <c r="P4">
        <f t="shared" ref="P4:P23" ca="1" si="3">N4+O4</f>
        <v>92</v>
      </c>
      <c r="Q4">
        <f t="shared" ref="Q4:Q23" ca="1" si="4">RANK(P4,$P$4:$P$23,0)</f>
        <v>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25</v>
      </c>
      <c r="M5">
        <f t="shared" ca="1" si="1"/>
        <v>25</v>
      </c>
      <c r="N5">
        <v>80</v>
      </c>
      <c r="O5">
        <f t="shared" ca="1" si="2"/>
        <v>15</v>
      </c>
      <c r="P5">
        <f t="shared" ca="1" si="3"/>
        <v>95</v>
      </c>
      <c r="Q5">
        <f t="shared" ca="1" si="4"/>
        <v>1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0</v>
      </c>
      <c r="P6">
        <f t="shared" ca="1" si="3"/>
        <v>80</v>
      </c>
      <c r="Q6">
        <f t="shared" ca="1" si="4"/>
        <v>15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1</v>
      </c>
      <c r="P7">
        <f t="shared" ca="1" si="3"/>
        <v>81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-11</v>
      </c>
      <c r="P8" s="2">
        <f t="shared" ca="1" si="3"/>
        <v>69</v>
      </c>
      <c r="Q8">
        <f t="shared" ca="1" si="4"/>
        <v>19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6</v>
      </c>
      <c r="M9">
        <f t="shared" ca="1" si="1"/>
        <v>6</v>
      </c>
      <c r="N9">
        <v>80</v>
      </c>
      <c r="O9">
        <f t="shared" ca="1" si="2"/>
        <v>5</v>
      </c>
      <c r="P9">
        <f t="shared" ca="1" si="3"/>
        <v>85</v>
      </c>
      <c r="Q9">
        <f t="shared" ca="1" si="4"/>
        <v>7</v>
      </c>
    </row>
    <row r="10" spans="1:20" x14ac:dyDescent="0.25">
      <c r="A10" t="s">
        <v>40</v>
      </c>
      <c r="B10" t="s">
        <v>28</v>
      </c>
      <c r="C10">
        <f t="shared" ca="1" si="0"/>
        <v>15</v>
      </c>
      <c r="M10">
        <f t="shared" ca="1" si="1"/>
        <v>15</v>
      </c>
      <c r="N10">
        <v>80</v>
      </c>
      <c r="O10">
        <f t="shared" ca="1" si="2"/>
        <v>12</v>
      </c>
      <c r="P10">
        <f t="shared" ca="1" si="3"/>
        <v>92</v>
      </c>
      <c r="Q10">
        <f t="shared" ca="1" si="4"/>
        <v>3</v>
      </c>
    </row>
    <row r="11" spans="1:20" x14ac:dyDescent="0.25">
      <c r="A11" t="s">
        <v>41</v>
      </c>
      <c r="B11" t="s">
        <v>31</v>
      </c>
      <c r="C11">
        <f t="shared" ca="1" si="0"/>
        <v>10</v>
      </c>
      <c r="M11">
        <f t="shared" ca="1" si="1"/>
        <v>10</v>
      </c>
      <c r="N11">
        <v>80</v>
      </c>
      <c r="O11">
        <f t="shared" ca="1" si="2"/>
        <v>11</v>
      </c>
      <c r="P11">
        <f t="shared" ca="1" si="3"/>
        <v>91</v>
      </c>
      <c r="Q11">
        <f t="shared" ca="1" si="4"/>
        <v>5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-15</v>
      </c>
      <c r="P12">
        <f t="shared" ca="1" si="3"/>
        <v>65</v>
      </c>
      <c r="Q12">
        <f t="shared" ca="1" si="4"/>
        <v>20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6</v>
      </c>
      <c r="M13">
        <f t="shared" ca="1" si="1"/>
        <v>6</v>
      </c>
      <c r="N13">
        <v>80</v>
      </c>
      <c r="O13">
        <f t="shared" ca="1" si="2"/>
        <v>5</v>
      </c>
      <c r="P13">
        <f t="shared" ca="1" si="3"/>
        <v>85</v>
      </c>
      <c r="Q13">
        <f t="shared" ca="1" si="4"/>
        <v>7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-5</v>
      </c>
      <c r="P14">
        <f t="shared" ca="1" si="3"/>
        <v>75</v>
      </c>
      <c r="Q14">
        <f t="shared" ca="1" si="4"/>
        <v>17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3</v>
      </c>
      <c r="P15">
        <f t="shared" ca="1" si="3"/>
        <v>83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1</v>
      </c>
      <c r="P16">
        <f t="shared" ca="1" si="3"/>
        <v>81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1</v>
      </c>
      <c r="P17">
        <f t="shared" ca="1" si="3"/>
        <v>81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6</v>
      </c>
      <c r="M18">
        <f t="shared" ca="1" si="1"/>
        <v>6</v>
      </c>
      <c r="N18">
        <v>80</v>
      </c>
      <c r="O18">
        <f t="shared" ca="1" si="2"/>
        <v>5</v>
      </c>
      <c r="P18">
        <f t="shared" ca="1" si="3"/>
        <v>85</v>
      </c>
      <c r="Q18">
        <f t="shared" ca="1" si="4"/>
        <v>7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-10</v>
      </c>
      <c r="P19">
        <f t="shared" ca="1" si="3"/>
        <v>70</v>
      </c>
      <c r="Q19">
        <f t="shared" ca="1" si="4"/>
        <v>18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2</v>
      </c>
      <c r="P20">
        <f t="shared" ca="1" si="3"/>
        <v>82</v>
      </c>
      <c r="Q20">
        <f t="shared" ca="1" si="4"/>
        <v>11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-2</v>
      </c>
      <c r="P21">
        <f t="shared" ca="1" si="3"/>
        <v>78</v>
      </c>
      <c r="Q21">
        <f t="shared" ca="1" si="4"/>
        <v>16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18</v>
      </c>
      <c r="M22">
        <f t="shared" ca="1" si="1"/>
        <v>18</v>
      </c>
      <c r="N22">
        <v>80</v>
      </c>
      <c r="O22">
        <f t="shared" ca="1" si="2"/>
        <v>14</v>
      </c>
      <c r="P22">
        <f t="shared" ca="1" si="3"/>
        <v>94</v>
      </c>
      <c r="Q22">
        <f t="shared" ca="1" si="4"/>
        <v>2</v>
      </c>
    </row>
    <row r="23" spans="1:20" x14ac:dyDescent="0.25">
      <c r="A23" t="s">
        <v>54</v>
      </c>
      <c r="B23" t="s">
        <v>37</v>
      </c>
      <c r="C23">
        <f t="shared" ca="1" si="0"/>
        <v>8</v>
      </c>
      <c r="M23">
        <f t="shared" ca="1" si="1"/>
        <v>8</v>
      </c>
      <c r="N23">
        <v>80</v>
      </c>
      <c r="O23">
        <f t="shared" ca="1" si="2"/>
        <v>9</v>
      </c>
      <c r="P23">
        <f t="shared" ca="1" si="3"/>
        <v>89</v>
      </c>
      <c r="Q23">
        <f t="shared" ca="1" si="4"/>
        <v>6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1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-9</v>
      </c>
      <c r="P4">
        <f t="shared" ref="P4:P23" ca="1" si="3">N4+O4</f>
        <v>71</v>
      </c>
      <c r="Q4">
        <f t="shared" ref="Q4:Q23" ca="1" si="4">RANK(P4,$P$4:$P$23,0)</f>
        <v>16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8</v>
      </c>
      <c r="M5">
        <f t="shared" ca="1" si="1"/>
        <v>8</v>
      </c>
      <c r="N5">
        <v>80</v>
      </c>
      <c r="O5">
        <f t="shared" ca="1" si="2"/>
        <v>9</v>
      </c>
      <c r="P5">
        <f t="shared" ca="1" si="3"/>
        <v>89</v>
      </c>
      <c r="Q5">
        <f t="shared" ca="1" si="4"/>
        <v>6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12</v>
      </c>
      <c r="M6">
        <f t="shared" ca="1" si="1"/>
        <v>12</v>
      </c>
      <c r="N6">
        <v>80</v>
      </c>
      <c r="O6">
        <f t="shared" ca="1" si="2"/>
        <v>12</v>
      </c>
      <c r="P6">
        <f t="shared" ca="1" si="3"/>
        <v>92</v>
      </c>
      <c r="Q6">
        <f t="shared" ca="1" si="4"/>
        <v>4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</v>
      </c>
      <c r="M7">
        <f t="shared" ca="1" si="1"/>
        <v>2</v>
      </c>
      <c r="N7">
        <v>80</v>
      </c>
      <c r="O7" s="3">
        <f t="shared" ca="1" si="2"/>
        <v>3</v>
      </c>
      <c r="P7">
        <f t="shared" ca="1" si="3"/>
        <v>83</v>
      </c>
      <c r="Q7">
        <f t="shared" ca="1" si="4"/>
        <v>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-15</v>
      </c>
      <c r="P8" s="2">
        <f t="shared" ca="1" si="3"/>
        <v>65</v>
      </c>
      <c r="Q8">
        <f t="shared" ca="1" si="4"/>
        <v>19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</v>
      </c>
      <c r="M9">
        <f t="shared" ca="1" si="1"/>
        <v>1</v>
      </c>
      <c r="N9">
        <v>80</v>
      </c>
      <c r="O9">
        <f t="shared" ca="1" si="2"/>
        <v>0</v>
      </c>
      <c r="P9">
        <f t="shared" ca="1" si="3"/>
        <v>80</v>
      </c>
      <c r="Q9">
        <f t="shared" ca="1" si="4"/>
        <v>10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6</v>
      </c>
      <c r="P10">
        <f t="shared" ca="1" si="3"/>
        <v>86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13</v>
      </c>
      <c r="P11">
        <f t="shared" ca="1" si="3"/>
        <v>93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-6</v>
      </c>
      <c r="P12">
        <f t="shared" ca="1" si="3"/>
        <v>74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6</v>
      </c>
      <c r="M13">
        <f t="shared" ca="1" si="1"/>
        <v>6</v>
      </c>
      <c r="N13">
        <v>80</v>
      </c>
      <c r="O13">
        <f t="shared" ca="1" si="2"/>
        <v>8</v>
      </c>
      <c r="P13">
        <f t="shared" ca="1" si="3"/>
        <v>88</v>
      </c>
      <c r="Q13">
        <f t="shared" ca="1" si="4"/>
        <v>7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14</v>
      </c>
      <c r="P14">
        <f t="shared" ca="1" si="3"/>
        <v>94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-7</v>
      </c>
      <c r="P15">
        <f t="shared" ca="1" si="3"/>
        <v>73</v>
      </c>
      <c r="Q15">
        <f t="shared" ca="1" si="4"/>
        <v>14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-2</v>
      </c>
      <c r="P16">
        <f t="shared" ca="1" si="3"/>
        <v>78</v>
      </c>
      <c r="Q16">
        <f t="shared" ca="1" si="4"/>
        <v>11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-14</v>
      </c>
      <c r="P17">
        <f t="shared" ca="1" si="3"/>
        <v>66</v>
      </c>
      <c r="Q17">
        <f t="shared" ca="1" si="4"/>
        <v>18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-15</v>
      </c>
      <c r="P18">
        <f t="shared" ca="1" si="3"/>
        <v>65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-8</v>
      </c>
      <c r="P19">
        <f t="shared" ca="1" si="3"/>
        <v>72</v>
      </c>
      <c r="Q19">
        <f t="shared" ca="1" si="4"/>
        <v>15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-10</v>
      </c>
      <c r="P20">
        <f t="shared" ca="1" si="3"/>
        <v>70</v>
      </c>
      <c r="Q20">
        <f t="shared" ca="1" si="4"/>
        <v>17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25</v>
      </c>
      <c r="M21">
        <f t="shared" ca="1" si="1"/>
        <v>25</v>
      </c>
      <c r="N21">
        <v>80</v>
      </c>
      <c r="O21">
        <f t="shared" ca="1" si="2"/>
        <v>14</v>
      </c>
      <c r="P21">
        <f t="shared" ca="1" si="3"/>
        <v>94</v>
      </c>
      <c r="Q21">
        <f t="shared" ca="1" si="4"/>
        <v>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-4</v>
      </c>
      <c r="P22">
        <f t="shared" ca="1" si="3"/>
        <v>76</v>
      </c>
      <c r="Q22">
        <f t="shared" ca="1" si="4"/>
        <v>12</v>
      </c>
    </row>
    <row r="23" spans="1:20" x14ac:dyDescent="0.25">
      <c r="A23" t="s">
        <v>54</v>
      </c>
      <c r="B23" t="s">
        <v>37</v>
      </c>
      <c r="C23">
        <f t="shared" ca="1" si="0"/>
        <v>12</v>
      </c>
      <c r="M23">
        <f t="shared" ca="1" si="1"/>
        <v>12</v>
      </c>
      <c r="N23">
        <v>80</v>
      </c>
      <c r="O23">
        <f t="shared" ca="1" si="2"/>
        <v>12</v>
      </c>
      <c r="P23">
        <f t="shared" ca="1" si="3"/>
        <v>92</v>
      </c>
      <c r="Q23">
        <f t="shared" ca="1" si="4"/>
        <v>4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1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1</v>
      </c>
      <c r="P4">
        <f t="shared" ref="P4:P23" ca="1" si="3">N4+O4</f>
        <v>81</v>
      </c>
      <c r="Q4">
        <f t="shared" ref="Q4:Q23" ca="1" si="4">RANK(P4,$P$4:$P$23,0)</f>
        <v>13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-6</v>
      </c>
      <c r="P5">
        <f t="shared" ca="1" si="3"/>
        <v>74</v>
      </c>
      <c r="Q5">
        <f t="shared" ca="1" si="4"/>
        <v>17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10</v>
      </c>
      <c r="M6">
        <f t="shared" ca="1" si="1"/>
        <v>10</v>
      </c>
      <c r="N6">
        <v>80</v>
      </c>
      <c r="O6">
        <f t="shared" ca="1" si="2"/>
        <v>7</v>
      </c>
      <c r="P6">
        <f t="shared" ca="1" si="3"/>
        <v>87</v>
      </c>
      <c r="Q6">
        <f t="shared" ca="1" si="4"/>
        <v>5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</v>
      </c>
      <c r="M7">
        <f t="shared" ca="1" si="1"/>
        <v>2</v>
      </c>
      <c r="N7">
        <v>80</v>
      </c>
      <c r="O7" s="3">
        <f t="shared" ca="1" si="2"/>
        <v>4</v>
      </c>
      <c r="P7">
        <f t="shared" ca="1" si="3"/>
        <v>84</v>
      </c>
      <c r="Q7">
        <f t="shared" ca="1" si="4"/>
        <v>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2</v>
      </c>
      <c r="P8" s="2">
        <f t="shared" ca="1" si="3"/>
        <v>82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18</v>
      </c>
      <c r="M9">
        <f t="shared" ca="1" si="1"/>
        <v>18</v>
      </c>
      <c r="N9">
        <v>80</v>
      </c>
      <c r="O9">
        <f t="shared" ca="1" si="2"/>
        <v>10</v>
      </c>
      <c r="P9">
        <f t="shared" ca="1" si="3"/>
        <v>90</v>
      </c>
      <c r="Q9">
        <f t="shared" ca="1" si="4"/>
        <v>2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7</v>
      </c>
      <c r="P10">
        <f t="shared" ca="1" si="3"/>
        <v>87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6</v>
      </c>
      <c r="M11">
        <f t="shared" ca="1" si="1"/>
        <v>6</v>
      </c>
      <c r="N11">
        <v>80</v>
      </c>
      <c r="O11">
        <f t="shared" ca="1" si="2"/>
        <v>5</v>
      </c>
      <c r="P11">
        <f t="shared" ca="1" si="3"/>
        <v>85</v>
      </c>
      <c r="Q11">
        <f t="shared" ca="1" si="4"/>
        <v>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-2</v>
      </c>
      <c r="P12">
        <f t="shared" ca="1" si="3"/>
        <v>78</v>
      </c>
      <c r="Q12">
        <f t="shared" ca="1" si="4"/>
        <v>15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-12</v>
      </c>
      <c r="P13">
        <f t="shared" ca="1" si="3"/>
        <v>68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-11</v>
      </c>
      <c r="P14">
        <f t="shared" ca="1" si="3"/>
        <v>69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6</v>
      </c>
      <c r="M15">
        <f t="shared" ca="1" si="1"/>
        <v>6</v>
      </c>
      <c r="N15">
        <v>80</v>
      </c>
      <c r="O15">
        <f t="shared" ca="1" si="2"/>
        <v>5</v>
      </c>
      <c r="P15">
        <f t="shared" ca="1" si="3"/>
        <v>85</v>
      </c>
      <c r="Q15">
        <f t="shared" ca="1" si="4"/>
        <v>7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</v>
      </c>
      <c r="M16">
        <f t="shared" ca="1" si="1"/>
        <v>1</v>
      </c>
      <c r="N16">
        <v>80</v>
      </c>
      <c r="O16">
        <f t="shared" ca="1" si="2"/>
        <v>3</v>
      </c>
      <c r="P16">
        <f t="shared" ca="1" si="3"/>
        <v>83</v>
      </c>
      <c r="Q16">
        <f t="shared" ca="1" si="4"/>
        <v>10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-4</v>
      </c>
      <c r="P17">
        <f t="shared" ca="1" si="3"/>
        <v>76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15</v>
      </c>
      <c r="M18">
        <f t="shared" ca="1" si="1"/>
        <v>15</v>
      </c>
      <c r="N18">
        <v>80</v>
      </c>
      <c r="O18">
        <f t="shared" ca="1" si="2"/>
        <v>9</v>
      </c>
      <c r="P18">
        <f t="shared" ca="1" si="3"/>
        <v>89</v>
      </c>
      <c r="Q18">
        <f t="shared" ca="1" si="4"/>
        <v>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-12</v>
      </c>
      <c r="P19">
        <f t="shared" ca="1" si="3"/>
        <v>68</v>
      </c>
      <c r="Q19">
        <f t="shared" ca="1" si="4"/>
        <v>19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12</v>
      </c>
      <c r="M20">
        <f t="shared" ca="1" si="1"/>
        <v>12</v>
      </c>
      <c r="N20">
        <v>80</v>
      </c>
      <c r="O20">
        <f t="shared" ca="1" si="2"/>
        <v>8</v>
      </c>
      <c r="P20">
        <f t="shared" ca="1" si="3"/>
        <v>88</v>
      </c>
      <c r="Q20">
        <f t="shared" ca="1" si="4"/>
        <v>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25</v>
      </c>
      <c r="M21">
        <f t="shared" ca="1" si="1"/>
        <v>25</v>
      </c>
      <c r="N21">
        <v>80</v>
      </c>
      <c r="O21">
        <f t="shared" ca="1" si="2"/>
        <v>15</v>
      </c>
      <c r="P21">
        <f t="shared" ca="1" si="3"/>
        <v>95</v>
      </c>
      <c r="Q21">
        <f t="shared" ca="1" si="4"/>
        <v>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</v>
      </c>
      <c r="M22">
        <f t="shared" ca="1" si="1"/>
        <v>1</v>
      </c>
      <c r="N22">
        <v>80</v>
      </c>
      <c r="O22">
        <f t="shared" ca="1" si="2"/>
        <v>3</v>
      </c>
      <c r="P22">
        <f t="shared" ca="1" si="3"/>
        <v>83</v>
      </c>
      <c r="Q22">
        <f t="shared" ca="1" si="4"/>
        <v>10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0</v>
      </c>
      <c r="P23">
        <f t="shared" ca="1" si="3"/>
        <v>80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2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8</v>
      </c>
      <c r="M4">
        <f t="shared" ref="M4:M23" ca="1" si="1">SUM(C4:L4)</f>
        <v>8</v>
      </c>
      <c r="N4">
        <v>80</v>
      </c>
      <c r="O4">
        <f t="shared" ref="O4:O23" ca="1" si="2">RANDBETWEEN(-15,15)</f>
        <v>11</v>
      </c>
      <c r="P4">
        <f t="shared" ref="P4:P23" ca="1" si="3">N4+O4</f>
        <v>91</v>
      </c>
      <c r="Q4">
        <f t="shared" ref="Q4:Q23" ca="1" si="4">RANK(P4,$P$4:$P$23,0)</f>
        <v>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-11</v>
      </c>
      <c r="P5">
        <f t="shared" ca="1" si="3"/>
        <v>69</v>
      </c>
      <c r="Q5">
        <f t="shared" ca="1" si="4"/>
        <v>17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-15</v>
      </c>
      <c r="P6">
        <f t="shared" ca="1" si="3"/>
        <v>65</v>
      </c>
      <c r="Q6">
        <f t="shared" ca="1" si="4"/>
        <v>20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6</v>
      </c>
      <c r="M7">
        <f t="shared" ca="1" si="1"/>
        <v>6</v>
      </c>
      <c r="N7">
        <v>80</v>
      </c>
      <c r="O7" s="3">
        <f t="shared" ca="1" si="2"/>
        <v>4</v>
      </c>
      <c r="P7">
        <f t="shared" ca="1" si="3"/>
        <v>84</v>
      </c>
      <c r="Q7">
        <f t="shared" ca="1" si="4"/>
        <v>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-8</v>
      </c>
      <c r="P8" s="2">
        <f t="shared" ca="1" si="3"/>
        <v>72</v>
      </c>
      <c r="Q8">
        <f t="shared" ca="1" si="4"/>
        <v>15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4</v>
      </c>
      <c r="M9">
        <f t="shared" ca="1" si="1"/>
        <v>4</v>
      </c>
      <c r="N9">
        <v>80</v>
      </c>
      <c r="O9">
        <f t="shared" ca="1" si="2"/>
        <v>1</v>
      </c>
      <c r="P9">
        <f t="shared" ca="1" si="3"/>
        <v>81</v>
      </c>
      <c r="Q9">
        <f t="shared" ca="1" si="4"/>
        <v>8</v>
      </c>
    </row>
    <row r="10" spans="1:20" x14ac:dyDescent="0.25">
      <c r="A10" t="s">
        <v>40</v>
      </c>
      <c r="B10" t="s">
        <v>28</v>
      </c>
      <c r="C10">
        <f t="shared" ca="1" si="0"/>
        <v>18</v>
      </c>
      <c r="M10">
        <f t="shared" ca="1" si="1"/>
        <v>18</v>
      </c>
      <c r="N10">
        <v>80</v>
      </c>
      <c r="O10">
        <f t="shared" ca="1" si="2"/>
        <v>13</v>
      </c>
      <c r="P10">
        <f t="shared" ca="1" si="3"/>
        <v>93</v>
      </c>
      <c r="Q10">
        <f t="shared" ca="1" si="4"/>
        <v>2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-2</v>
      </c>
      <c r="P11">
        <f t="shared" ca="1" si="3"/>
        <v>78</v>
      </c>
      <c r="Q11">
        <f t="shared" ca="1" si="4"/>
        <v>12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-6</v>
      </c>
      <c r="P12">
        <f t="shared" ca="1" si="3"/>
        <v>74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4</v>
      </c>
      <c r="M13">
        <f t="shared" ca="1" si="1"/>
        <v>4</v>
      </c>
      <c r="N13">
        <v>80</v>
      </c>
      <c r="O13">
        <f t="shared" ca="1" si="2"/>
        <v>1</v>
      </c>
      <c r="P13">
        <f t="shared" ca="1" si="3"/>
        <v>81</v>
      </c>
      <c r="Q13">
        <f t="shared" ca="1" si="4"/>
        <v>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4</v>
      </c>
      <c r="M14">
        <f t="shared" ca="1" si="1"/>
        <v>4</v>
      </c>
      <c r="N14">
        <v>80</v>
      </c>
      <c r="O14">
        <f t="shared" ca="1" si="2"/>
        <v>1</v>
      </c>
      <c r="P14">
        <f t="shared" ca="1" si="3"/>
        <v>81</v>
      </c>
      <c r="Q14">
        <f t="shared" ca="1" si="4"/>
        <v>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</v>
      </c>
      <c r="P15">
        <f t="shared" ca="1" si="3"/>
        <v>79</v>
      </c>
      <c r="Q15">
        <f t="shared" ca="1" si="4"/>
        <v>11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-12</v>
      </c>
      <c r="P16">
        <f t="shared" ca="1" si="3"/>
        <v>68</v>
      </c>
      <c r="Q16">
        <f t="shared" ca="1" si="4"/>
        <v>18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-13</v>
      </c>
      <c r="P17">
        <f t="shared" ca="1" si="3"/>
        <v>67</v>
      </c>
      <c r="Q17">
        <f t="shared" ca="1" si="4"/>
        <v>19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18</v>
      </c>
      <c r="M18">
        <f t="shared" ca="1" si="1"/>
        <v>18</v>
      </c>
      <c r="N18">
        <v>80</v>
      </c>
      <c r="O18">
        <f t="shared" ca="1" si="2"/>
        <v>13</v>
      </c>
      <c r="P18">
        <f t="shared" ca="1" si="3"/>
        <v>93</v>
      </c>
      <c r="Q18">
        <f t="shared" ca="1" si="4"/>
        <v>2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-7</v>
      </c>
      <c r="P19">
        <f t="shared" ca="1" si="3"/>
        <v>73</v>
      </c>
      <c r="Q19">
        <f t="shared" ca="1" si="4"/>
        <v>14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12</v>
      </c>
      <c r="M20">
        <f t="shared" ca="1" si="1"/>
        <v>12</v>
      </c>
      <c r="N20">
        <v>80</v>
      </c>
      <c r="O20">
        <f t="shared" ca="1" si="2"/>
        <v>12</v>
      </c>
      <c r="P20">
        <f t="shared" ca="1" si="3"/>
        <v>92</v>
      </c>
      <c r="Q20">
        <f t="shared" ca="1" si="4"/>
        <v>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12</v>
      </c>
      <c r="P21">
        <f t="shared" ca="1" si="3"/>
        <v>92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-9</v>
      </c>
      <c r="P22">
        <f t="shared" ca="1" si="3"/>
        <v>71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25</v>
      </c>
      <c r="M23">
        <f t="shared" ca="1" si="1"/>
        <v>25</v>
      </c>
      <c r="N23">
        <v>80</v>
      </c>
      <c r="O23">
        <f t="shared" ca="1" si="2"/>
        <v>14</v>
      </c>
      <c r="P23">
        <f t="shared" ca="1" si="3"/>
        <v>94</v>
      </c>
      <c r="Q23">
        <f t="shared" ca="1" si="4"/>
        <v>1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oglio2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</v>
      </c>
      <c r="M4">
        <f t="shared" ref="M4:M23" ca="1" si="1">SUM(C4:L4)</f>
        <v>2</v>
      </c>
      <c r="N4">
        <v>80</v>
      </c>
      <c r="O4">
        <f t="shared" ref="O4:O23" ca="1" si="2">RANDBETWEEN(-15,15)</f>
        <v>7</v>
      </c>
      <c r="P4">
        <f t="shared" ref="P4:P23" ca="1" si="3">N4+O4</f>
        <v>87</v>
      </c>
      <c r="Q4">
        <f t="shared" ref="Q4:Q23" ca="1" si="4">RANK(P4,$P$4:$P$23,0)</f>
        <v>9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-4</v>
      </c>
      <c r="P5">
        <f t="shared" ca="1" si="3"/>
        <v>76</v>
      </c>
      <c r="Q5">
        <f t="shared" ca="1" si="4"/>
        <v>17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14</v>
      </c>
      <c r="P6">
        <f t="shared" ca="1" si="3"/>
        <v>94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-3</v>
      </c>
      <c r="P7">
        <f t="shared" ca="1" si="3"/>
        <v>77</v>
      </c>
      <c r="Q7">
        <f t="shared" ca="1" si="4"/>
        <v>16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25</v>
      </c>
      <c r="M8">
        <f t="shared" ca="1" si="1"/>
        <v>25</v>
      </c>
      <c r="N8">
        <v>80</v>
      </c>
      <c r="O8" s="2">
        <f t="shared" ca="1" si="2"/>
        <v>15</v>
      </c>
      <c r="P8" s="2">
        <f t="shared" ca="1" si="3"/>
        <v>95</v>
      </c>
      <c r="Q8">
        <f t="shared" ca="1" si="4"/>
        <v>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9</v>
      </c>
      <c r="P9">
        <f t="shared" ca="1" si="3"/>
        <v>89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-7</v>
      </c>
      <c r="P10">
        <f t="shared" ca="1" si="3"/>
        <v>73</v>
      </c>
      <c r="Q10">
        <f t="shared" ca="1" si="4"/>
        <v>19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3</v>
      </c>
      <c r="P11">
        <f t="shared" ca="1" si="3"/>
        <v>83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9</v>
      </c>
      <c r="P12">
        <f t="shared" ca="1" si="3"/>
        <v>89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</v>
      </c>
      <c r="M13">
        <f t="shared" ca="1" si="1"/>
        <v>2</v>
      </c>
      <c r="N13">
        <v>80</v>
      </c>
      <c r="O13">
        <f t="shared" ca="1" si="2"/>
        <v>7</v>
      </c>
      <c r="P13">
        <f t="shared" ca="1" si="3"/>
        <v>87</v>
      </c>
      <c r="Q13">
        <f t="shared" ca="1" si="4"/>
        <v>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5</v>
      </c>
      <c r="P14">
        <f t="shared" ca="1" si="3"/>
        <v>85</v>
      </c>
      <c r="Q14">
        <f t="shared" ca="1" si="4"/>
        <v>11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15</v>
      </c>
      <c r="M15">
        <f t="shared" ca="1" si="1"/>
        <v>15</v>
      </c>
      <c r="N15">
        <v>80</v>
      </c>
      <c r="O15">
        <f t="shared" ca="1" si="2"/>
        <v>11</v>
      </c>
      <c r="P15">
        <f t="shared" ca="1" si="3"/>
        <v>91</v>
      </c>
      <c r="Q15">
        <f t="shared" ca="1" si="4"/>
        <v>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2</v>
      </c>
      <c r="P16">
        <f t="shared" ca="1" si="3"/>
        <v>82</v>
      </c>
      <c r="Q16">
        <f t="shared" ca="1" si="4"/>
        <v>14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10</v>
      </c>
      <c r="M17">
        <f t="shared" ca="1" si="1"/>
        <v>10</v>
      </c>
      <c r="N17">
        <v>80</v>
      </c>
      <c r="O17">
        <f t="shared" ca="1" si="2"/>
        <v>9</v>
      </c>
      <c r="P17">
        <f t="shared" ca="1" si="3"/>
        <v>89</v>
      </c>
      <c r="Q17">
        <f t="shared" ca="1" si="4"/>
        <v>5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5</v>
      </c>
      <c r="P18">
        <f t="shared" ca="1" si="3"/>
        <v>85</v>
      </c>
      <c r="Q18">
        <f t="shared" ca="1" si="4"/>
        <v>11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15</v>
      </c>
      <c r="M19">
        <f t="shared" ca="1" si="1"/>
        <v>15</v>
      </c>
      <c r="N19">
        <v>80</v>
      </c>
      <c r="O19">
        <f t="shared" ca="1" si="2"/>
        <v>11</v>
      </c>
      <c r="P19">
        <f t="shared" ca="1" si="3"/>
        <v>91</v>
      </c>
      <c r="Q19">
        <f t="shared" ca="1" si="4"/>
        <v>3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-2</v>
      </c>
      <c r="P20">
        <f t="shared" ca="1" si="3"/>
        <v>78</v>
      </c>
      <c r="Q20">
        <f t="shared" ca="1" si="4"/>
        <v>15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-4</v>
      </c>
      <c r="P21">
        <f t="shared" ca="1" si="3"/>
        <v>76</v>
      </c>
      <c r="Q21">
        <f t="shared" ca="1" si="4"/>
        <v>17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-14</v>
      </c>
      <c r="P22">
        <f t="shared" ca="1" si="3"/>
        <v>66</v>
      </c>
      <c r="Q22">
        <f t="shared" ca="1" si="4"/>
        <v>20</v>
      </c>
    </row>
    <row r="23" spans="1:20" x14ac:dyDescent="0.25">
      <c r="A23" t="s">
        <v>54</v>
      </c>
      <c r="B23" t="s">
        <v>37</v>
      </c>
      <c r="C23">
        <f t="shared" ca="1" si="0"/>
        <v>10</v>
      </c>
      <c r="M23">
        <f t="shared" ca="1" si="1"/>
        <v>10</v>
      </c>
      <c r="N23">
        <v>80</v>
      </c>
      <c r="O23">
        <f t="shared" ca="1" si="2"/>
        <v>9</v>
      </c>
      <c r="P23">
        <f t="shared" ca="1" si="3"/>
        <v>89</v>
      </c>
      <c r="Q23">
        <f t="shared" ca="1" si="4"/>
        <v>5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oglio2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-10</v>
      </c>
      <c r="P4">
        <f t="shared" ref="P4:P23" ca="1" si="3">N4+O4</f>
        <v>70</v>
      </c>
      <c r="Q4">
        <f t="shared" ref="Q4:Q23" ca="1" si="4">RANK(P4,$P$4:$P$23,0)</f>
        <v>17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6</v>
      </c>
      <c r="M5">
        <f t="shared" ca="1" si="1"/>
        <v>6</v>
      </c>
      <c r="N5">
        <v>80</v>
      </c>
      <c r="O5">
        <f t="shared" ca="1" si="2"/>
        <v>5</v>
      </c>
      <c r="P5">
        <f t="shared" ca="1" si="3"/>
        <v>85</v>
      </c>
      <c r="Q5">
        <f t="shared" ca="1" si="4"/>
        <v>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</v>
      </c>
      <c r="M6">
        <f t="shared" ca="1" si="1"/>
        <v>1</v>
      </c>
      <c r="N6">
        <v>80</v>
      </c>
      <c r="O6">
        <f t="shared" ca="1" si="2"/>
        <v>-2</v>
      </c>
      <c r="P6">
        <f t="shared" ca="1" si="3"/>
        <v>78</v>
      </c>
      <c r="Q6">
        <f t="shared" ca="1" si="4"/>
        <v>10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18</v>
      </c>
      <c r="M7">
        <f t="shared" ca="1" si="1"/>
        <v>18</v>
      </c>
      <c r="N7">
        <v>80</v>
      </c>
      <c r="O7" s="3">
        <f t="shared" ca="1" si="2"/>
        <v>13</v>
      </c>
      <c r="P7">
        <f t="shared" ca="1" si="3"/>
        <v>93</v>
      </c>
      <c r="Q7">
        <f t="shared" ca="1" si="4"/>
        <v>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</v>
      </c>
      <c r="M8">
        <f t="shared" ca="1" si="1"/>
        <v>2</v>
      </c>
      <c r="N8">
        <v>80</v>
      </c>
      <c r="O8" s="2">
        <f t="shared" ca="1" si="2"/>
        <v>-1</v>
      </c>
      <c r="P8" s="2">
        <f t="shared" ca="1" si="3"/>
        <v>79</v>
      </c>
      <c r="Q8">
        <f t="shared" ca="1" si="4"/>
        <v>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-11</v>
      </c>
      <c r="P9">
        <f t="shared" ca="1" si="3"/>
        <v>69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-5</v>
      </c>
      <c r="P10">
        <f t="shared" ca="1" si="3"/>
        <v>75</v>
      </c>
      <c r="Q10">
        <f t="shared" ca="1" si="4"/>
        <v>14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11</v>
      </c>
      <c r="P11">
        <f t="shared" ca="1" si="3"/>
        <v>91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8</v>
      </c>
      <c r="M12">
        <f t="shared" ca="1" si="1"/>
        <v>8</v>
      </c>
      <c r="N12">
        <v>80</v>
      </c>
      <c r="O12">
        <f t="shared" ca="1" si="2"/>
        <v>6</v>
      </c>
      <c r="P12">
        <f t="shared" ca="1" si="3"/>
        <v>86</v>
      </c>
      <c r="Q12">
        <f t="shared" ca="1" si="4"/>
        <v>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15</v>
      </c>
      <c r="M13">
        <f t="shared" ca="1" si="1"/>
        <v>15</v>
      </c>
      <c r="N13">
        <v>80</v>
      </c>
      <c r="O13">
        <f t="shared" ca="1" si="2"/>
        <v>11</v>
      </c>
      <c r="P13">
        <f t="shared" ca="1" si="3"/>
        <v>91</v>
      </c>
      <c r="Q13">
        <f t="shared" ca="1" si="4"/>
        <v>3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-8</v>
      </c>
      <c r="P14">
        <f t="shared" ca="1" si="3"/>
        <v>72</v>
      </c>
      <c r="Q14">
        <f t="shared" ca="1" si="4"/>
        <v>16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10</v>
      </c>
      <c r="M15">
        <f t="shared" ca="1" si="1"/>
        <v>10</v>
      </c>
      <c r="N15">
        <v>80</v>
      </c>
      <c r="O15">
        <f t="shared" ca="1" si="2"/>
        <v>9</v>
      </c>
      <c r="P15">
        <f t="shared" ca="1" si="3"/>
        <v>89</v>
      </c>
      <c r="Q15">
        <f t="shared" ca="1" si="4"/>
        <v>5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-4</v>
      </c>
      <c r="P16">
        <f t="shared" ca="1" si="3"/>
        <v>76</v>
      </c>
      <c r="Q16">
        <f t="shared" ca="1" si="4"/>
        <v>13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6</v>
      </c>
      <c r="M17">
        <f t="shared" ca="1" si="1"/>
        <v>6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7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-11</v>
      </c>
      <c r="P18">
        <f t="shared" ca="1" si="3"/>
        <v>69</v>
      </c>
      <c r="Q18">
        <f t="shared" ca="1" si="4"/>
        <v>18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</v>
      </c>
      <c r="M19">
        <f t="shared" ca="1" si="1"/>
        <v>1</v>
      </c>
      <c r="N19">
        <v>80</v>
      </c>
      <c r="O19">
        <f t="shared" ca="1" si="2"/>
        <v>-2</v>
      </c>
      <c r="P19">
        <f t="shared" ca="1" si="3"/>
        <v>78</v>
      </c>
      <c r="Q19">
        <f t="shared" ca="1" si="4"/>
        <v>10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-12</v>
      </c>
      <c r="P20">
        <f t="shared" ca="1" si="3"/>
        <v>68</v>
      </c>
      <c r="Q20">
        <f t="shared" ca="1" si="4"/>
        <v>20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25</v>
      </c>
      <c r="M21">
        <f t="shared" ca="1" si="1"/>
        <v>25</v>
      </c>
      <c r="N21">
        <v>80</v>
      </c>
      <c r="O21">
        <f t="shared" ca="1" si="2"/>
        <v>14</v>
      </c>
      <c r="P21">
        <f t="shared" ca="1" si="3"/>
        <v>94</v>
      </c>
      <c r="Q21">
        <f t="shared" ca="1" si="4"/>
        <v>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-7</v>
      </c>
      <c r="P22">
        <f t="shared" ca="1" si="3"/>
        <v>73</v>
      </c>
      <c r="Q22">
        <f t="shared" ca="1" si="4"/>
        <v>15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-3</v>
      </c>
      <c r="P23">
        <f t="shared" ca="1" si="3"/>
        <v>77</v>
      </c>
      <c r="Q23">
        <f t="shared" ca="1" si="4"/>
        <v>12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oglio2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12</v>
      </c>
      <c r="M4">
        <f t="shared" ref="M4:M23" ca="1" si="1">SUM(C4:L4)</f>
        <v>12</v>
      </c>
      <c r="N4">
        <v>80</v>
      </c>
      <c r="O4">
        <f t="shared" ref="O4:O23" ca="1" si="2">RANDBETWEEN(-15,15)</f>
        <v>8</v>
      </c>
      <c r="P4">
        <f t="shared" ref="P4:P23" ca="1" si="3">N4+O4</f>
        <v>88</v>
      </c>
      <c r="Q4">
        <f t="shared" ref="Q4:Q23" ca="1" si="4">RANK(P4,$P$4:$P$23,0)</f>
        <v>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4</v>
      </c>
      <c r="M5">
        <f t="shared" ca="1" si="1"/>
        <v>4</v>
      </c>
      <c r="N5">
        <v>80</v>
      </c>
      <c r="O5">
        <f t="shared" ca="1" si="2"/>
        <v>1</v>
      </c>
      <c r="P5">
        <f t="shared" ca="1" si="3"/>
        <v>81</v>
      </c>
      <c r="Q5">
        <f t="shared" ca="1" si="4"/>
        <v>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3</v>
      </c>
      <c r="P6">
        <f t="shared" ca="1" si="3"/>
        <v>83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-10</v>
      </c>
      <c r="P7">
        <f t="shared" ca="1" si="3"/>
        <v>70</v>
      </c>
      <c r="Q7">
        <f t="shared" ca="1" si="4"/>
        <v>15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-4</v>
      </c>
      <c r="P8" s="2">
        <f t="shared" ca="1" si="3"/>
        <v>76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15</v>
      </c>
      <c r="M9">
        <f t="shared" ca="1" si="1"/>
        <v>15</v>
      </c>
      <c r="N9">
        <v>80</v>
      </c>
      <c r="O9">
        <f t="shared" ca="1" si="2"/>
        <v>9</v>
      </c>
      <c r="P9">
        <f t="shared" ca="1" si="3"/>
        <v>89</v>
      </c>
      <c r="Q9">
        <f t="shared" ca="1" si="4"/>
        <v>3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-15</v>
      </c>
      <c r="P10">
        <f t="shared" ca="1" si="3"/>
        <v>65</v>
      </c>
      <c r="Q10">
        <f t="shared" ca="1" si="4"/>
        <v>20</v>
      </c>
    </row>
    <row r="11" spans="1:20" x14ac:dyDescent="0.25">
      <c r="A11" t="s">
        <v>41</v>
      </c>
      <c r="B11" t="s">
        <v>31</v>
      </c>
      <c r="C11">
        <f t="shared" ca="1" si="0"/>
        <v>18</v>
      </c>
      <c r="M11">
        <f t="shared" ca="1" si="1"/>
        <v>18</v>
      </c>
      <c r="N11">
        <v>80</v>
      </c>
      <c r="O11">
        <f t="shared" ca="1" si="2"/>
        <v>10</v>
      </c>
      <c r="P11">
        <f t="shared" ca="1" si="3"/>
        <v>90</v>
      </c>
      <c r="Q11">
        <f t="shared" ca="1" si="4"/>
        <v>2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-14</v>
      </c>
      <c r="P12">
        <f t="shared" ca="1" si="3"/>
        <v>66</v>
      </c>
      <c r="Q12">
        <f t="shared" ca="1" si="4"/>
        <v>19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8</v>
      </c>
      <c r="M13">
        <f t="shared" ca="1" si="1"/>
        <v>8</v>
      </c>
      <c r="N13">
        <v>80</v>
      </c>
      <c r="O13">
        <f t="shared" ca="1" si="2"/>
        <v>4</v>
      </c>
      <c r="P13">
        <f t="shared" ca="1" si="3"/>
        <v>84</v>
      </c>
      <c r="Q13">
        <f t="shared" ca="1" si="4"/>
        <v>6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-12</v>
      </c>
      <c r="P14">
        <f t="shared" ca="1" si="3"/>
        <v>68</v>
      </c>
      <c r="Q14">
        <f t="shared" ca="1" si="4"/>
        <v>17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-2</v>
      </c>
      <c r="P15">
        <f t="shared" ca="1" si="3"/>
        <v>78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-10</v>
      </c>
      <c r="P16">
        <f t="shared" ca="1" si="3"/>
        <v>70</v>
      </c>
      <c r="Q16">
        <f t="shared" ca="1" si="4"/>
        <v>15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-8</v>
      </c>
      <c r="P17">
        <f t="shared" ca="1" si="3"/>
        <v>72</v>
      </c>
      <c r="Q17">
        <f t="shared" ca="1" si="4"/>
        <v>13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-3</v>
      </c>
      <c r="P18">
        <f t="shared" ca="1" si="3"/>
        <v>77</v>
      </c>
      <c r="Q18">
        <f t="shared" ca="1" si="4"/>
        <v>11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10</v>
      </c>
      <c r="M19">
        <f t="shared" ca="1" si="1"/>
        <v>10</v>
      </c>
      <c r="N19">
        <v>80</v>
      </c>
      <c r="O19">
        <f t="shared" ca="1" si="2"/>
        <v>5</v>
      </c>
      <c r="P19">
        <f t="shared" ca="1" si="3"/>
        <v>85</v>
      </c>
      <c r="Q19">
        <f t="shared" ca="1" si="4"/>
        <v>5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-9</v>
      </c>
      <c r="P20">
        <f t="shared" ca="1" si="3"/>
        <v>71</v>
      </c>
      <c r="Q20">
        <f t="shared" ca="1" si="4"/>
        <v>14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-13</v>
      </c>
      <c r="P21">
        <f t="shared" ca="1" si="3"/>
        <v>67</v>
      </c>
      <c r="Q21">
        <f t="shared" ca="1" si="4"/>
        <v>18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</v>
      </c>
      <c r="M22">
        <f t="shared" ca="1" si="1"/>
        <v>2</v>
      </c>
      <c r="N22">
        <v>80</v>
      </c>
      <c r="O22">
        <f t="shared" ca="1" si="2"/>
        <v>0</v>
      </c>
      <c r="P22">
        <f t="shared" ca="1" si="3"/>
        <v>80</v>
      </c>
      <c r="Q22">
        <f t="shared" ca="1" si="4"/>
        <v>9</v>
      </c>
    </row>
    <row r="23" spans="1:20" x14ac:dyDescent="0.25">
      <c r="A23" t="s">
        <v>54</v>
      </c>
      <c r="B23" t="s">
        <v>37</v>
      </c>
      <c r="C23">
        <f t="shared" ca="1" si="0"/>
        <v>25</v>
      </c>
      <c r="M23">
        <f t="shared" ca="1" si="1"/>
        <v>25</v>
      </c>
      <c r="N23">
        <v>80</v>
      </c>
      <c r="O23">
        <f t="shared" ca="1" si="2"/>
        <v>15</v>
      </c>
      <c r="P23">
        <f t="shared" ca="1" si="3"/>
        <v>95</v>
      </c>
      <c r="Q23">
        <f t="shared" ca="1" si="4"/>
        <v>1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oglio24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76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4</v>
      </c>
      <c r="M4">
        <f t="shared" ref="M4:M23" ca="1" si="1">SUM(C4:L4)</f>
        <v>4</v>
      </c>
      <c r="N4">
        <v>80</v>
      </c>
      <c r="O4">
        <f t="shared" ref="O4:O23" ca="1" si="2">RANDBETWEEN(-15,15)</f>
        <v>4</v>
      </c>
      <c r="P4">
        <f t="shared" ref="P4:P23" ca="1" si="3">N4+O4</f>
        <v>84</v>
      </c>
      <c r="Q4">
        <f t="shared" ref="Q4:Q23" ca="1" si="4">RANK(P4,$P$4:$P$23,0)</f>
        <v>8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-15</v>
      </c>
      <c r="P5">
        <f t="shared" ca="1" si="3"/>
        <v>65</v>
      </c>
      <c r="Q5">
        <f t="shared" ca="1" si="4"/>
        <v>20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-6</v>
      </c>
      <c r="P6">
        <f t="shared" ca="1" si="3"/>
        <v>74</v>
      </c>
      <c r="Q6">
        <f t="shared" ca="1" si="4"/>
        <v>14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-3</v>
      </c>
      <c r="P7">
        <f t="shared" ca="1" si="3"/>
        <v>77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8</v>
      </c>
      <c r="M8">
        <f t="shared" ca="1" si="1"/>
        <v>8</v>
      </c>
      <c r="N8">
        <v>80</v>
      </c>
      <c r="O8" s="2">
        <f t="shared" ca="1" si="2"/>
        <v>6</v>
      </c>
      <c r="P8" s="2">
        <f t="shared" ca="1" si="3"/>
        <v>86</v>
      </c>
      <c r="Q8">
        <f t="shared" ca="1" si="4"/>
        <v>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18</v>
      </c>
      <c r="M9">
        <f t="shared" ca="1" si="1"/>
        <v>18</v>
      </c>
      <c r="N9">
        <v>80</v>
      </c>
      <c r="O9">
        <f t="shared" ca="1" si="2"/>
        <v>11</v>
      </c>
      <c r="P9">
        <f t="shared" ca="1" si="3"/>
        <v>91</v>
      </c>
      <c r="Q9">
        <f t="shared" ca="1" si="4"/>
        <v>2</v>
      </c>
    </row>
    <row r="10" spans="1:20" x14ac:dyDescent="0.25">
      <c r="A10" t="s">
        <v>40</v>
      </c>
      <c r="B10" t="s">
        <v>28</v>
      </c>
      <c r="C10">
        <f t="shared" ca="1" si="0"/>
        <v>8</v>
      </c>
      <c r="M10">
        <f t="shared" ca="1" si="1"/>
        <v>8</v>
      </c>
      <c r="N10">
        <v>80</v>
      </c>
      <c r="O10">
        <f t="shared" ca="1" si="2"/>
        <v>6</v>
      </c>
      <c r="P10">
        <f t="shared" ca="1" si="3"/>
        <v>86</v>
      </c>
      <c r="Q10">
        <f t="shared" ca="1" si="4"/>
        <v>6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-14</v>
      </c>
      <c r="P11">
        <f t="shared" ca="1" si="3"/>
        <v>66</v>
      </c>
      <c r="Q11">
        <f t="shared" ca="1" si="4"/>
        <v>19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-12</v>
      </c>
      <c r="P12">
        <f t="shared" ca="1" si="3"/>
        <v>68</v>
      </c>
      <c r="Q12">
        <f t="shared" ca="1" si="4"/>
        <v>18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-5</v>
      </c>
      <c r="P13">
        <f t="shared" ca="1" si="3"/>
        <v>75</v>
      </c>
      <c r="Q13">
        <f t="shared" ca="1" si="4"/>
        <v>13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-10</v>
      </c>
      <c r="P14">
        <f t="shared" ca="1" si="3"/>
        <v>70</v>
      </c>
      <c r="Q14">
        <f t="shared" ca="1" si="4"/>
        <v>16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11</v>
      </c>
      <c r="P15">
        <f t="shared" ca="1" si="3"/>
        <v>91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-11</v>
      </c>
      <c r="P16">
        <f t="shared" ca="1" si="3"/>
        <v>69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10</v>
      </c>
      <c r="M17">
        <f t="shared" ca="1" si="1"/>
        <v>10</v>
      </c>
      <c r="N17">
        <v>80</v>
      </c>
      <c r="O17">
        <f t="shared" ca="1" si="2"/>
        <v>9</v>
      </c>
      <c r="P17">
        <f t="shared" ca="1" si="3"/>
        <v>89</v>
      </c>
      <c r="Q17">
        <f t="shared" ca="1" si="4"/>
        <v>5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-6</v>
      </c>
      <c r="P18">
        <f t="shared" ca="1" si="3"/>
        <v>74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18</v>
      </c>
      <c r="M19">
        <f t="shared" ca="1" si="1"/>
        <v>18</v>
      </c>
      <c r="N19">
        <v>80</v>
      </c>
      <c r="O19">
        <f t="shared" ca="1" si="2"/>
        <v>11</v>
      </c>
      <c r="P19">
        <f t="shared" ca="1" si="3"/>
        <v>91</v>
      </c>
      <c r="Q19">
        <f t="shared" ca="1" si="4"/>
        <v>2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25</v>
      </c>
      <c r="M20">
        <f t="shared" ca="1" si="1"/>
        <v>25</v>
      </c>
      <c r="N20">
        <v>80</v>
      </c>
      <c r="O20">
        <f t="shared" ca="1" si="2"/>
        <v>15</v>
      </c>
      <c r="P20">
        <f t="shared" ca="1" si="3"/>
        <v>95</v>
      </c>
      <c r="Q20">
        <f t="shared" ca="1" si="4"/>
        <v>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</v>
      </c>
      <c r="M21">
        <f t="shared" ca="1" si="1"/>
        <v>2</v>
      </c>
      <c r="N21">
        <v>80</v>
      </c>
      <c r="O21">
        <f t="shared" ca="1" si="2"/>
        <v>2</v>
      </c>
      <c r="P21">
        <f t="shared" ca="1" si="3"/>
        <v>82</v>
      </c>
      <c r="Q21">
        <f t="shared" ca="1" si="4"/>
        <v>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-2</v>
      </c>
      <c r="P22">
        <f t="shared" ca="1" si="3"/>
        <v>78</v>
      </c>
      <c r="Q22">
        <f t="shared" ca="1" si="4"/>
        <v>11</v>
      </c>
    </row>
    <row r="23" spans="1:20" x14ac:dyDescent="0.25">
      <c r="A23" t="s">
        <v>54</v>
      </c>
      <c r="B23" t="s">
        <v>37</v>
      </c>
      <c r="C23">
        <f t="shared" ca="1" si="0"/>
        <v>1</v>
      </c>
      <c r="M23">
        <f t="shared" ca="1" si="1"/>
        <v>1</v>
      </c>
      <c r="N23">
        <v>80</v>
      </c>
      <c r="O23">
        <f t="shared" ca="1" si="2"/>
        <v>-1</v>
      </c>
      <c r="P23">
        <f t="shared" ca="1" si="3"/>
        <v>79</v>
      </c>
      <c r="Q23">
        <f t="shared" ca="1" si="4"/>
        <v>10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oglio2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12</v>
      </c>
      <c r="M4">
        <f t="shared" ref="M4:M23" ca="1" si="1">SUM(C4:L4)</f>
        <v>12</v>
      </c>
      <c r="N4">
        <v>80</v>
      </c>
      <c r="O4">
        <f t="shared" ref="O4:O23" ca="1" si="2">RANDBETWEEN(-15,15)</f>
        <v>11</v>
      </c>
      <c r="P4">
        <f t="shared" ref="P4:P23" ca="1" si="3">N4+O4</f>
        <v>91</v>
      </c>
      <c r="Q4">
        <f t="shared" ref="Q4:Q23" ca="1" si="4">RANK(P4,$P$4:$P$23,0)</f>
        <v>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-13</v>
      </c>
      <c r="P5">
        <f t="shared" ca="1" si="3"/>
        <v>67</v>
      </c>
      <c r="Q5">
        <f t="shared" ca="1" si="4"/>
        <v>19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5</v>
      </c>
      <c r="P6">
        <f t="shared" ca="1" si="3"/>
        <v>85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6</v>
      </c>
      <c r="M7">
        <f t="shared" ca="1" si="1"/>
        <v>6</v>
      </c>
      <c r="N7">
        <v>80</v>
      </c>
      <c r="O7" s="3">
        <f t="shared" ca="1" si="2"/>
        <v>5</v>
      </c>
      <c r="P7">
        <f t="shared" ca="1" si="3"/>
        <v>85</v>
      </c>
      <c r="Q7">
        <f t="shared" ca="1" si="4"/>
        <v>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-2</v>
      </c>
      <c r="P8" s="2">
        <f t="shared" ca="1" si="3"/>
        <v>78</v>
      </c>
      <c r="Q8">
        <f t="shared" ca="1" si="4"/>
        <v>11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18</v>
      </c>
      <c r="M9">
        <f t="shared" ca="1" si="1"/>
        <v>18</v>
      </c>
      <c r="N9">
        <v>80</v>
      </c>
      <c r="O9">
        <f t="shared" ca="1" si="2"/>
        <v>14</v>
      </c>
      <c r="P9">
        <f t="shared" ca="1" si="3"/>
        <v>94</v>
      </c>
      <c r="Q9">
        <f t="shared" ca="1" si="4"/>
        <v>2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-2</v>
      </c>
      <c r="P10">
        <f t="shared" ca="1" si="3"/>
        <v>78</v>
      </c>
      <c r="Q10">
        <f t="shared" ca="1" si="4"/>
        <v>11</v>
      </c>
    </row>
    <row r="11" spans="1:20" x14ac:dyDescent="0.25">
      <c r="A11" t="s">
        <v>41</v>
      </c>
      <c r="B11" t="s">
        <v>31</v>
      </c>
      <c r="C11">
        <f t="shared" ca="1" si="0"/>
        <v>2</v>
      </c>
      <c r="M11">
        <f t="shared" ca="1" si="1"/>
        <v>2</v>
      </c>
      <c r="N11">
        <v>80</v>
      </c>
      <c r="O11">
        <f t="shared" ca="1" si="2"/>
        <v>3</v>
      </c>
      <c r="P11">
        <f t="shared" ca="1" si="3"/>
        <v>83</v>
      </c>
      <c r="Q11">
        <f t="shared" ca="1" si="4"/>
        <v>9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15</v>
      </c>
      <c r="P12">
        <f t="shared" ca="1" si="3"/>
        <v>95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-6</v>
      </c>
      <c r="P13">
        <f t="shared" ca="1" si="3"/>
        <v>74</v>
      </c>
      <c r="Q13">
        <f t="shared" ca="1" si="4"/>
        <v>16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-9</v>
      </c>
      <c r="P14">
        <f t="shared" ca="1" si="3"/>
        <v>71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-5</v>
      </c>
      <c r="P15">
        <f t="shared" ca="1" si="3"/>
        <v>75</v>
      </c>
      <c r="Q15">
        <f t="shared" ca="1" si="4"/>
        <v>14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12</v>
      </c>
      <c r="M16">
        <f t="shared" ca="1" si="1"/>
        <v>12</v>
      </c>
      <c r="N16">
        <v>80</v>
      </c>
      <c r="O16">
        <f t="shared" ca="1" si="2"/>
        <v>11</v>
      </c>
      <c r="P16">
        <f t="shared" ca="1" si="3"/>
        <v>91</v>
      </c>
      <c r="Q16">
        <f t="shared" ca="1" si="4"/>
        <v>4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-4</v>
      </c>
      <c r="P17">
        <f t="shared" ca="1" si="3"/>
        <v>76</v>
      </c>
      <c r="Q17">
        <f t="shared" ca="1" si="4"/>
        <v>13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</v>
      </c>
      <c r="M18">
        <f t="shared" ca="1" si="1"/>
        <v>2</v>
      </c>
      <c r="N18">
        <v>80</v>
      </c>
      <c r="O18">
        <f t="shared" ca="1" si="2"/>
        <v>3</v>
      </c>
      <c r="P18">
        <f t="shared" ca="1" si="3"/>
        <v>83</v>
      </c>
      <c r="Q18">
        <f t="shared" ca="1" si="4"/>
        <v>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-15</v>
      </c>
      <c r="P19">
        <f t="shared" ca="1" si="3"/>
        <v>65</v>
      </c>
      <c r="Q19">
        <f t="shared" ca="1" si="4"/>
        <v>20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15</v>
      </c>
      <c r="M20">
        <f t="shared" ca="1" si="1"/>
        <v>15</v>
      </c>
      <c r="N20">
        <v>80</v>
      </c>
      <c r="O20">
        <f t="shared" ca="1" si="2"/>
        <v>13</v>
      </c>
      <c r="P20">
        <f t="shared" ca="1" si="3"/>
        <v>93</v>
      </c>
      <c r="Q20">
        <f t="shared" ca="1" si="4"/>
        <v>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8</v>
      </c>
      <c r="M21">
        <f t="shared" ca="1" si="1"/>
        <v>8</v>
      </c>
      <c r="N21">
        <v>80</v>
      </c>
      <c r="O21">
        <f t="shared" ca="1" si="2"/>
        <v>10</v>
      </c>
      <c r="P21">
        <f t="shared" ca="1" si="3"/>
        <v>90</v>
      </c>
      <c r="Q21">
        <f t="shared" ca="1" si="4"/>
        <v>6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-7</v>
      </c>
      <c r="P22">
        <f t="shared" ca="1" si="3"/>
        <v>73</v>
      </c>
      <c r="Q22">
        <f t="shared" ca="1" si="4"/>
        <v>17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-5</v>
      </c>
      <c r="P23">
        <f t="shared" ca="1" si="3"/>
        <v>75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oglio2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15</v>
      </c>
      <c r="M4">
        <f t="shared" ref="M4:M23" ca="1" si="1">SUM(C4:L4)</f>
        <v>15</v>
      </c>
      <c r="N4">
        <v>80</v>
      </c>
      <c r="O4">
        <f t="shared" ref="O4:O23" ca="1" si="2">RANDBETWEEN(-15,15)</f>
        <v>8</v>
      </c>
      <c r="P4">
        <f t="shared" ref="P4:P23" ca="1" si="3">N4+O4</f>
        <v>88</v>
      </c>
      <c r="Q4">
        <f t="shared" ref="Q4:Q23" ca="1" si="4">RANK(P4,$P$4:$P$23,0)</f>
        <v>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-13</v>
      </c>
      <c r="P5">
        <f t="shared" ca="1" si="3"/>
        <v>67</v>
      </c>
      <c r="Q5">
        <f t="shared" ca="1" si="4"/>
        <v>20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8</v>
      </c>
      <c r="M6">
        <f t="shared" ca="1" si="1"/>
        <v>8</v>
      </c>
      <c r="N6">
        <v>80</v>
      </c>
      <c r="O6">
        <f t="shared" ca="1" si="2"/>
        <v>3</v>
      </c>
      <c r="P6">
        <f t="shared" ca="1" si="3"/>
        <v>83</v>
      </c>
      <c r="Q6">
        <f t="shared" ca="1" si="4"/>
        <v>6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-3</v>
      </c>
      <c r="P7">
        <f t="shared" ca="1" si="3"/>
        <v>77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</v>
      </c>
      <c r="M8">
        <f t="shared" ca="1" si="1"/>
        <v>2</v>
      </c>
      <c r="N8">
        <v>80</v>
      </c>
      <c r="O8" s="2">
        <f t="shared" ca="1" si="2"/>
        <v>0</v>
      </c>
      <c r="P8" s="2">
        <f t="shared" ca="1" si="3"/>
        <v>80</v>
      </c>
      <c r="Q8">
        <f t="shared" ca="1" si="4"/>
        <v>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-11</v>
      </c>
      <c r="P9">
        <f t="shared" ca="1" si="3"/>
        <v>69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4</v>
      </c>
      <c r="P10">
        <f t="shared" ca="1" si="3"/>
        <v>84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-10</v>
      </c>
      <c r="P11">
        <f t="shared" ca="1" si="3"/>
        <v>70</v>
      </c>
      <c r="Q11">
        <f t="shared" ca="1" si="4"/>
        <v>16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</v>
      </c>
      <c r="M12">
        <f t="shared" ca="1" si="1"/>
        <v>1</v>
      </c>
      <c r="N12">
        <v>80</v>
      </c>
      <c r="O12">
        <f t="shared" ca="1" si="2"/>
        <v>-1</v>
      </c>
      <c r="P12">
        <f t="shared" ca="1" si="3"/>
        <v>79</v>
      </c>
      <c r="Q12">
        <f t="shared" ca="1" si="4"/>
        <v>10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-3</v>
      </c>
      <c r="P13">
        <f t="shared" ca="1" si="3"/>
        <v>77</v>
      </c>
      <c r="Q13">
        <f t="shared" ca="1" si="4"/>
        <v>12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15</v>
      </c>
      <c r="M14">
        <f t="shared" ca="1" si="1"/>
        <v>15</v>
      </c>
      <c r="N14">
        <v>80</v>
      </c>
      <c r="O14">
        <f t="shared" ca="1" si="2"/>
        <v>8</v>
      </c>
      <c r="P14">
        <f t="shared" ca="1" si="3"/>
        <v>88</v>
      </c>
      <c r="Q14">
        <f t="shared" ca="1" si="4"/>
        <v>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4</v>
      </c>
      <c r="M15">
        <f t="shared" ca="1" si="1"/>
        <v>4</v>
      </c>
      <c r="N15">
        <v>80</v>
      </c>
      <c r="O15">
        <f t="shared" ca="1" si="2"/>
        <v>1</v>
      </c>
      <c r="P15">
        <f t="shared" ca="1" si="3"/>
        <v>81</v>
      </c>
      <c r="Q15">
        <f t="shared" ca="1" si="4"/>
        <v>8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-10</v>
      </c>
      <c r="P16">
        <f t="shared" ca="1" si="3"/>
        <v>70</v>
      </c>
      <c r="Q16">
        <f t="shared" ca="1" si="4"/>
        <v>16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-2</v>
      </c>
      <c r="P17">
        <f t="shared" ca="1" si="3"/>
        <v>78</v>
      </c>
      <c r="Q17">
        <f t="shared" ca="1" si="4"/>
        <v>11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-12</v>
      </c>
      <c r="P18">
        <f t="shared" ca="1" si="3"/>
        <v>68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-3</v>
      </c>
      <c r="P19">
        <f t="shared" ca="1" si="3"/>
        <v>77</v>
      </c>
      <c r="Q19">
        <f t="shared" ca="1" si="4"/>
        <v>12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25</v>
      </c>
      <c r="M20">
        <f t="shared" ca="1" si="1"/>
        <v>25</v>
      </c>
      <c r="N20">
        <v>80</v>
      </c>
      <c r="O20">
        <f t="shared" ca="1" si="2"/>
        <v>15</v>
      </c>
      <c r="P20">
        <f t="shared" ca="1" si="3"/>
        <v>95</v>
      </c>
      <c r="Q20">
        <f t="shared" ca="1" si="4"/>
        <v>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18</v>
      </c>
      <c r="M21">
        <f t="shared" ca="1" si="1"/>
        <v>18</v>
      </c>
      <c r="N21">
        <v>80</v>
      </c>
      <c r="O21">
        <f t="shared" ca="1" si="2"/>
        <v>13</v>
      </c>
      <c r="P21">
        <f t="shared" ca="1" si="3"/>
        <v>93</v>
      </c>
      <c r="Q21">
        <f t="shared" ca="1" si="4"/>
        <v>2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8</v>
      </c>
      <c r="M22">
        <f t="shared" ca="1" si="1"/>
        <v>8</v>
      </c>
      <c r="N22">
        <v>80</v>
      </c>
      <c r="O22">
        <f t="shared" ca="1" si="2"/>
        <v>3</v>
      </c>
      <c r="P22">
        <f t="shared" ca="1" si="3"/>
        <v>83</v>
      </c>
      <c r="Q22">
        <f t="shared" ca="1" si="4"/>
        <v>6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-8</v>
      </c>
      <c r="P23">
        <f t="shared" ca="1" si="3"/>
        <v>72</v>
      </c>
      <c r="Q23">
        <f t="shared" ca="1" si="4"/>
        <v>15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oglio2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79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-10</v>
      </c>
      <c r="P4">
        <f t="shared" ref="P4:P23" ca="1" si="3">N4+O4</f>
        <v>70</v>
      </c>
      <c r="Q4">
        <f t="shared" ref="Q4:Q23" ca="1" si="4">RANK(P4,$P$4:$P$23,0)</f>
        <v>14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-14</v>
      </c>
      <c r="P5">
        <f t="shared" ca="1" si="3"/>
        <v>66</v>
      </c>
      <c r="Q5">
        <f t="shared" ca="1" si="4"/>
        <v>20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3</v>
      </c>
      <c r="P6">
        <f t="shared" ca="1" si="3"/>
        <v>83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</v>
      </c>
      <c r="M7">
        <f t="shared" ca="1" si="1"/>
        <v>2</v>
      </c>
      <c r="N7">
        <v>80</v>
      </c>
      <c r="O7" s="3">
        <f t="shared" ca="1" si="2"/>
        <v>1</v>
      </c>
      <c r="P7">
        <f t="shared" ca="1" si="3"/>
        <v>81</v>
      </c>
      <c r="Q7">
        <f t="shared" ca="1" si="4"/>
        <v>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</v>
      </c>
      <c r="M8">
        <f t="shared" ca="1" si="1"/>
        <v>1</v>
      </c>
      <c r="N8">
        <v>80</v>
      </c>
      <c r="O8" s="2">
        <f t="shared" ca="1" si="2"/>
        <v>0</v>
      </c>
      <c r="P8" s="2">
        <f t="shared" ca="1" si="3"/>
        <v>80</v>
      </c>
      <c r="Q8">
        <f t="shared" ca="1" si="4"/>
        <v>10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-12</v>
      </c>
      <c r="P9">
        <f t="shared" ca="1" si="3"/>
        <v>68</v>
      </c>
      <c r="Q9">
        <f t="shared" ca="1" si="4"/>
        <v>17</v>
      </c>
    </row>
    <row r="10" spans="1:20" x14ac:dyDescent="0.25">
      <c r="A10" t="s">
        <v>40</v>
      </c>
      <c r="B10" t="s">
        <v>28</v>
      </c>
      <c r="C10">
        <f t="shared" ca="1" si="0"/>
        <v>25</v>
      </c>
      <c r="M10">
        <f t="shared" ca="1" si="1"/>
        <v>25</v>
      </c>
      <c r="N10">
        <v>80</v>
      </c>
      <c r="O10">
        <f t="shared" ca="1" si="2"/>
        <v>14</v>
      </c>
      <c r="P10">
        <f t="shared" ca="1" si="3"/>
        <v>94</v>
      </c>
      <c r="Q10">
        <f t="shared" ca="1" si="4"/>
        <v>1</v>
      </c>
    </row>
    <row r="11" spans="1:20" x14ac:dyDescent="0.25">
      <c r="A11" t="s">
        <v>41</v>
      </c>
      <c r="B11" t="s">
        <v>31</v>
      </c>
      <c r="C11">
        <f t="shared" ca="1" si="0"/>
        <v>8</v>
      </c>
      <c r="M11">
        <f t="shared" ca="1" si="1"/>
        <v>8</v>
      </c>
      <c r="N11">
        <v>80</v>
      </c>
      <c r="O11">
        <f t="shared" ca="1" si="2"/>
        <v>4</v>
      </c>
      <c r="P11">
        <f t="shared" ca="1" si="3"/>
        <v>84</v>
      </c>
      <c r="Q11">
        <f t="shared" ca="1" si="4"/>
        <v>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5</v>
      </c>
      <c r="P12">
        <f t="shared" ca="1" si="3"/>
        <v>85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25</v>
      </c>
      <c r="M13">
        <f t="shared" ca="1" si="1"/>
        <v>25</v>
      </c>
      <c r="N13">
        <v>80</v>
      </c>
      <c r="O13">
        <f t="shared" ca="1" si="2"/>
        <v>14</v>
      </c>
      <c r="P13">
        <f t="shared" ca="1" si="3"/>
        <v>94</v>
      </c>
      <c r="Q13">
        <f t="shared" ca="1" si="4"/>
        <v>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15</v>
      </c>
      <c r="M14">
        <f t="shared" ca="1" si="1"/>
        <v>15</v>
      </c>
      <c r="N14">
        <v>80</v>
      </c>
      <c r="O14">
        <f t="shared" ca="1" si="2"/>
        <v>10</v>
      </c>
      <c r="P14">
        <f t="shared" ca="1" si="3"/>
        <v>90</v>
      </c>
      <c r="Q14">
        <f t="shared" ca="1" si="4"/>
        <v>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-5</v>
      </c>
      <c r="P15">
        <f t="shared" ca="1" si="3"/>
        <v>75</v>
      </c>
      <c r="Q15">
        <f t="shared" ca="1" si="4"/>
        <v>13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12</v>
      </c>
      <c r="M16">
        <f t="shared" ca="1" si="1"/>
        <v>12</v>
      </c>
      <c r="N16">
        <v>80</v>
      </c>
      <c r="O16">
        <f t="shared" ca="1" si="2"/>
        <v>9</v>
      </c>
      <c r="P16">
        <f t="shared" ca="1" si="3"/>
        <v>89</v>
      </c>
      <c r="Q16">
        <f t="shared" ca="1" si="4"/>
        <v>4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4</v>
      </c>
      <c r="M17">
        <f t="shared" ca="1" si="1"/>
        <v>4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-13</v>
      </c>
      <c r="P18">
        <f t="shared" ca="1" si="3"/>
        <v>67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-10</v>
      </c>
      <c r="P19">
        <f t="shared" ca="1" si="3"/>
        <v>70</v>
      </c>
      <c r="Q19">
        <f t="shared" ca="1" si="4"/>
        <v>14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</v>
      </c>
      <c r="P20">
        <f t="shared" ca="1" si="3"/>
        <v>79</v>
      </c>
      <c r="Q20">
        <f t="shared" ca="1" si="4"/>
        <v>12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0</v>
      </c>
      <c r="P21">
        <f t="shared" ca="1" si="3"/>
        <v>80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-12</v>
      </c>
      <c r="P22">
        <f t="shared" ca="1" si="3"/>
        <v>68</v>
      </c>
      <c r="Q22">
        <f t="shared" ca="1" si="4"/>
        <v>17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-10</v>
      </c>
      <c r="P23">
        <f t="shared" ca="1" si="3"/>
        <v>70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oglio2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-15</v>
      </c>
      <c r="P4">
        <f t="shared" ref="P4:P23" ca="1" si="3">N4+O4</f>
        <v>65</v>
      </c>
      <c r="Q4">
        <f t="shared" ref="Q4:Q23" ca="1" si="4">RANK(P4,$P$4:$P$23,0)</f>
        <v>19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-14</v>
      </c>
      <c r="P5">
        <f t="shared" ca="1" si="3"/>
        <v>66</v>
      </c>
      <c r="Q5">
        <f t="shared" ca="1" si="4"/>
        <v>17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4</v>
      </c>
      <c r="P6">
        <f t="shared" ca="1" si="3"/>
        <v>84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</v>
      </c>
      <c r="M7">
        <f t="shared" ca="1" si="1"/>
        <v>1</v>
      </c>
      <c r="N7">
        <v>80</v>
      </c>
      <c r="O7" s="3">
        <f t="shared" ca="1" si="2"/>
        <v>0</v>
      </c>
      <c r="P7">
        <f t="shared" ca="1" si="3"/>
        <v>80</v>
      </c>
      <c r="Q7">
        <f t="shared" ca="1" si="4"/>
        <v>10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15</v>
      </c>
      <c r="M8">
        <f t="shared" ca="1" si="1"/>
        <v>15</v>
      </c>
      <c r="N8">
        <v>80</v>
      </c>
      <c r="O8" s="2">
        <f t="shared" ca="1" si="2"/>
        <v>10</v>
      </c>
      <c r="P8" s="2">
        <f t="shared" ca="1" si="3"/>
        <v>90</v>
      </c>
      <c r="Q8">
        <f t="shared" ca="1" si="4"/>
        <v>3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-11</v>
      </c>
      <c r="P9">
        <f t="shared" ca="1" si="3"/>
        <v>69</v>
      </c>
      <c r="Q9">
        <f t="shared" ca="1" si="4"/>
        <v>14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-11</v>
      </c>
      <c r="P10">
        <f t="shared" ca="1" si="3"/>
        <v>69</v>
      </c>
      <c r="Q10">
        <f t="shared" ca="1" si="4"/>
        <v>14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-10</v>
      </c>
      <c r="P11">
        <f t="shared" ca="1" si="3"/>
        <v>70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15</v>
      </c>
      <c r="M12">
        <f t="shared" ca="1" si="1"/>
        <v>15</v>
      </c>
      <c r="N12">
        <v>80</v>
      </c>
      <c r="O12">
        <f t="shared" ca="1" si="2"/>
        <v>10</v>
      </c>
      <c r="P12">
        <f t="shared" ca="1" si="3"/>
        <v>90</v>
      </c>
      <c r="Q12">
        <f t="shared" ca="1" si="4"/>
        <v>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6</v>
      </c>
      <c r="P13">
        <f t="shared" ca="1" si="3"/>
        <v>86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18</v>
      </c>
      <c r="M14">
        <f t="shared" ca="1" si="1"/>
        <v>18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2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-9</v>
      </c>
      <c r="P15">
        <f t="shared" ca="1" si="3"/>
        <v>71</v>
      </c>
      <c r="Q15">
        <f t="shared" ca="1" si="4"/>
        <v>12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-14</v>
      </c>
      <c r="P16">
        <f t="shared" ca="1" si="3"/>
        <v>66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-11</v>
      </c>
      <c r="P18">
        <f t="shared" ca="1" si="3"/>
        <v>69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-15</v>
      </c>
      <c r="P19">
        <f t="shared" ca="1" si="3"/>
        <v>65</v>
      </c>
      <c r="Q19">
        <f t="shared" ca="1" si="4"/>
        <v>19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8</v>
      </c>
      <c r="M20">
        <f t="shared" ca="1" si="1"/>
        <v>8</v>
      </c>
      <c r="N20">
        <v>80</v>
      </c>
      <c r="O20">
        <f t="shared" ca="1" si="2"/>
        <v>5</v>
      </c>
      <c r="P20">
        <f t="shared" ca="1" si="3"/>
        <v>85</v>
      </c>
      <c r="Q20">
        <f t="shared" ca="1" si="4"/>
        <v>6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6</v>
      </c>
      <c r="M21">
        <f t="shared" ca="1" si="1"/>
        <v>6</v>
      </c>
      <c r="N21">
        <v>80</v>
      </c>
      <c r="O21">
        <f t="shared" ca="1" si="2"/>
        <v>4</v>
      </c>
      <c r="P21">
        <f t="shared" ca="1" si="3"/>
        <v>84</v>
      </c>
      <c r="Q21">
        <f t="shared" ca="1" si="4"/>
        <v>7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25</v>
      </c>
      <c r="M22">
        <f t="shared" ca="1" si="1"/>
        <v>25</v>
      </c>
      <c r="N22">
        <v>80</v>
      </c>
      <c r="O22">
        <f t="shared" ca="1" si="2"/>
        <v>15</v>
      </c>
      <c r="P22">
        <f t="shared" ca="1" si="3"/>
        <v>95</v>
      </c>
      <c r="Q22">
        <f t="shared" ca="1" si="4"/>
        <v>1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-6</v>
      </c>
      <c r="P23">
        <f t="shared" ca="1" si="3"/>
        <v>74</v>
      </c>
      <c r="Q23">
        <f t="shared" ca="1" si="4"/>
        <v>11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oglio2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25</v>
      </c>
      <c r="M4">
        <f t="shared" ref="M4:M23" ca="1" si="1">SUM(C4:L4)</f>
        <v>25</v>
      </c>
      <c r="N4">
        <v>80</v>
      </c>
      <c r="O4">
        <f t="shared" ref="O4:O23" ca="1" si="2">RANDBETWEEN(-15,15)</f>
        <v>15</v>
      </c>
      <c r="P4">
        <f t="shared" ref="P4:P23" ca="1" si="3">N4+O4</f>
        <v>95</v>
      </c>
      <c r="Q4">
        <f t="shared" ref="Q4:Q23" ca="1" si="4">RANK(P4,$P$4:$P$23,0)</f>
        <v>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15</v>
      </c>
      <c r="M5">
        <f t="shared" ca="1" si="1"/>
        <v>15</v>
      </c>
      <c r="N5">
        <v>80</v>
      </c>
      <c r="O5">
        <f t="shared" ca="1" si="2"/>
        <v>13</v>
      </c>
      <c r="P5">
        <f t="shared" ca="1" si="3"/>
        <v>93</v>
      </c>
      <c r="Q5">
        <f t="shared" ca="1" si="4"/>
        <v>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-5</v>
      </c>
      <c r="P6">
        <f t="shared" ca="1" si="3"/>
        <v>75</v>
      </c>
      <c r="Q6">
        <f t="shared" ca="1" si="4"/>
        <v>16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-7</v>
      </c>
      <c r="P7">
        <f t="shared" ca="1" si="3"/>
        <v>73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</v>
      </c>
      <c r="P8" s="2">
        <f t="shared" ca="1" si="3"/>
        <v>79</v>
      </c>
      <c r="Q8">
        <f t="shared" ca="1" si="4"/>
        <v>11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8</v>
      </c>
      <c r="M9">
        <f t="shared" ca="1" si="1"/>
        <v>8</v>
      </c>
      <c r="N9">
        <v>80</v>
      </c>
      <c r="O9">
        <f t="shared" ca="1" si="2"/>
        <v>4</v>
      </c>
      <c r="P9">
        <f t="shared" ca="1" si="3"/>
        <v>84</v>
      </c>
      <c r="Q9">
        <f t="shared" ca="1" si="4"/>
        <v>6</v>
      </c>
    </row>
    <row r="10" spans="1:20" x14ac:dyDescent="0.25">
      <c r="A10" t="s">
        <v>40</v>
      </c>
      <c r="B10" t="s">
        <v>28</v>
      </c>
      <c r="C10">
        <f t="shared" ca="1" si="0"/>
        <v>12</v>
      </c>
      <c r="M10">
        <f t="shared" ca="1" si="1"/>
        <v>12</v>
      </c>
      <c r="N10">
        <v>80</v>
      </c>
      <c r="O10">
        <f t="shared" ca="1" si="2"/>
        <v>10</v>
      </c>
      <c r="P10">
        <f t="shared" ca="1" si="3"/>
        <v>90</v>
      </c>
      <c r="Q10">
        <f t="shared" ca="1" si="4"/>
        <v>4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-3</v>
      </c>
      <c r="P11">
        <f t="shared" ca="1" si="3"/>
        <v>77</v>
      </c>
      <c r="Q11">
        <f t="shared" ca="1" si="4"/>
        <v>15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-8</v>
      </c>
      <c r="P12">
        <f t="shared" ca="1" si="3"/>
        <v>72</v>
      </c>
      <c r="Q12">
        <f t="shared" ca="1" si="4"/>
        <v>18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</v>
      </c>
      <c r="M13">
        <f t="shared" ca="1" si="1"/>
        <v>2</v>
      </c>
      <c r="N13">
        <v>80</v>
      </c>
      <c r="O13">
        <f t="shared" ca="1" si="2"/>
        <v>0</v>
      </c>
      <c r="P13">
        <f t="shared" ca="1" si="3"/>
        <v>80</v>
      </c>
      <c r="Q13">
        <f t="shared" ca="1" si="4"/>
        <v>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6</v>
      </c>
      <c r="M14">
        <f t="shared" ca="1" si="1"/>
        <v>6</v>
      </c>
      <c r="N14">
        <v>80</v>
      </c>
      <c r="O14">
        <f t="shared" ca="1" si="2"/>
        <v>3</v>
      </c>
      <c r="P14">
        <f t="shared" ca="1" si="3"/>
        <v>83</v>
      </c>
      <c r="Q14">
        <f t="shared" ca="1" si="4"/>
        <v>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10</v>
      </c>
      <c r="M15">
        <f t="shared" ca="1" si="1"/>
        <v>10</v>
      </c>
      <c r="N15">
        <v>80</v>
      </c>
      <c r="O15">
        <f t="shared" ca="1" si="2"/>
        <v>8</v>
      </c>
      <c r="P15">
        <f t="shared" ca="1" si="3"/>
        <v>88</v>
      </c>
      <c r="Q15">
        <f t="shared" ca="1" si="4"/>
        <v>5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6</v>
      </c>
      <c r="M16">
        <f t="shared" ca="1" si="1"/>
        <v>6</v>
      </c>
      <c r="N16">
        <v>80</v>
      </c>
      <c r="O16">
        <f t="shared" ca="1" si="2"/>
        <v>3</v>
      </c>
      <c r="P16">
        <f t="shared" ca="1" si="3"/>
        <v>83</v>
      </c>
      <c r="Q16">
        <f t="shared" ca="1" si="4"/>
        <v>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-2</v>
      </c>
      <c r="P17">
        <f t="shared" ca="1" si="3"/>
        <v>78</v>
      </c>
      <c r="Q17">
        <f t="shared" ca="1" si="4"/>
        <v>13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</v>
      </c>
      <c r="P18">
        <f t="shared" ca="1" si="3"/>
        <v>79</v>
      </c>
      <c r="Q18">
        <f t="shared" ca="1" si="4"/>
        <v>11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-10</v>
      </c>
      <c r="P19">
        <f t="shared" ca="1" si="3"/>
        <v>70</v>
      </c>
      <c r="Q19">
        <f t="shared" ca="1" si="4"/>
        <v>20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25</v>
      </c>
      <c r="M20">
        <f t="shared" ca="1" si="1"/>
        <v>25</v>
      </c>
      <c r="N20">
        <v>80</v>
      </c>
      <c r="O20">
        <f t="shared" ca="1" si="2"/>
        <v>15</v>
      </c>
      <c r="P20">
        <f t="shared" ca="1" si="3"/>
        <v>95</v>
      </c>
      <c r="Q20">
        <f t="shared" ca="1" si="4"/>
        <v>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-9</v>
      </c>
      <c r="P21">
        <f t="shared" ca="1" si="3"/>
        <v>71</v>
      </c>
      <c r="Q21">
        <f t="shared" ca="1" si="4"/>
        <v>19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-2</v>
      </c>
      <c r="P22">
        <f t="shared" ca="1" si="3"/>
        <v>78</v>
      </c>
      <c r="Q22">
        <f t="shared" ca="1" si="4"/>
        <v>13</v>
      </c>
    </row>
    <row r="23" spans="1:20" x14ac:dyDescent="0.25">
      <c r="A23" t="s">
        <v>54</v>
      </c>
      <c r="B23" t="s">
        <v>37</v>
      </c>
      <c r="C23">
        <f t="shared" ca="1" si="0"/>
        <v>2</v>
      </c>
      <c r="M23">
        <f t="shared" ca="1" si="1"/>
        <v>2</v>
      </c>
      <c r="N23">
        <v>80</v>
      </c>
      <c r="O23">
        <f t="shared" ca="1" si="2"/>
        <v>0</v>
      </c>
      <c r="P23">
        <f t="shared" ca="1" si="3"/>
        <v>80</v>
      </c>
      <c r="Q23">
        <f t="shared" ca="1" si="4"/>
        <v>9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oglio3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8</v>
      </c>
      <c r="M4">
        <f t="shared" ref="M4:M23" ca="1" si="1">SUM(C4:L4)</f>
        <v>8</v>
      </c>
      <c r="N4">
        <v>80</v>
      </c>
      <c r="O4">
        <f t="shared" ref="O4:O23" ca="1" si="2">RANDBETWEEN(-15,15)</f>
        <v>10</v>
      </c>
      <c r="P4">
        <f t="shared" ref="P4:P23" ca="1" si="3">N4+O4</f>
        <v>90</v>
      </c>
      <c r="Q4">
        <f t="shared" ref="Q4:Q23" ca="1" si="4">RANK(P4,$P$4:$P$23,0)</f>
        <v>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1</v>
      </c>
      <c r="P5">
        <f t="shared" ca="1" si="3"/>
        <v>81</v>
      </c>
      <c r="Q5">
        <f t="shared" ca="1" si="4"/>
        <v>15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8</v>
      </c>
      <c r="M6">
        <f t="shared" ca="1" si="1"/>
        <v>8</v>
      </c>
      <c r="N6">
        <v>80</v>
      </c>
      <c r="O6">
        <f t="shared" ca="1" si="2"/>
        <v>10</v>
      </c>
      <c r="P6">
        <f t="shared" ca="1" si="3"/>
        <v>90</v>
      </c>
      <c r="Q6">
        <f t="shared" ca="1" si="4"/>
        <v>6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-8</v>
      </c>
      <c r="P7">
        <f t="shared" ca="1" si="3"/>
        <v>72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3</v>
      </c>
      <c r="P8" s="2">
        <f t="shared" ca="1" si="3"/>
        <v>83</v>
      </c>
      <c r="Q8">
        <f t="shared" ca="1" si="4"/>
        <v>14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0</v>
      </c>
      <c r="P9">
        <f t="shared" ca="1" si="3"/>
        <v>80</v>
      </c>
      <c r="Q9">
        <f t="shared" ca="1" si="4"/>
        <v>16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9</v>
      </c>
      <c r="P10">
        <f t="shared" ca="1" si="3"/>
        <v>89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25</v>
      </c>
      <c r="M11">
        <f t="shared" ca="1" si="1"/>
        <v>25</v>
      </c>
      <c r="N11">
        <v>80</v>
      </c>
      <c r="O11">
        <f t="shared" ca="1" si="2"/>
        <v>13</v>
      </c>
      <c r="P11">
        <f t="shared" ca="1" si="3"/>
        <v>93</v>
      </c>
      <c r="Q11">
        <f t="shared" ca="1" si="4"/>
        <v>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-15</v>
      </c>
      <c r="P12">
        <f t="shared" ca="1" si="3"/>
        <v>65</v>
      </c>
      <c r="Q12">
        <f t="shared" ca="1" si="4"/>
        <v>20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12</v>
      </c>
      <c r="P13">
        <f t="shared" ca="1" si="3"/>
        <v>92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4</v>
      </c>
      <c r="P14">
        <f t="shared" ca="1" si="3"/>
        <v>84</v>
      </c>
      <c r="Q14">
        <f t="shared" ca="1" si="4"/>
        <v>13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-13</v>
      </c>
      <c r="P15">
        <f t="shared" ca="1" si="3"/>
        <v>67</v>
      </c>
      <c r="Q15">
        <f t="shared" ca="1" si="4"/>
        <v>19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</v>
      </c>
      <c r="M16">
        <f t="shared" ca="1" si="1"/>
        <v>2</v>
      </c>
      <c r="N16">
        <v>80</v>
      </c>
      <c r="O16">
        <f t="shared" ca="1" si="2"/>
        <v>7</v>
      </c>
      <c r="P16">
        <f t="shared" ca="1" si="3"/>
        <v>87</v>
      </c>
      <c r="Q16">
        <f t="shared" ca="1" si="4"/>
        <v>9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25</v>
      </c>
      <c r="M17">
        <f t="shared" ca="1" si="1"/>
        <v>25</v>
      </c>
      <c r="N17">
        <v>80</v>
      </c>
      <c r="O17">
        <f t="shared" ca="1" si="2"/>
        <v>13</v>
      </c>
      <c r="P17">
        <f t="shared" ca="1" si="3"/>
        <v>93</v>
      </c>
      <c r="Q17">
        <f t="shared" ca="1" si="4"/>
        <v>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25</v>
      </c>
      <c r="M18">
        <f t="shared" ca="1" si="1"/>
        <v>25</v>
      </c>
      <c r="N18">
        <v>80</v>
      </c>
      <c r="O18">
        <f t="shared" ca="1" si="2"/>
        <v>13</v>
      </c>
      <c r="P18">
        <f t="shared" ca="1" si="3"/>
        <v>93</v>
      </c>
      <c r="Q18">
        <f t="shared" ca="1" si="4"/>
        <v>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13</v>
      </c>
      <c r="P19">
        <f t="shared" ca="1" si="3"/>
        <v>93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2</v>
      </c>
      <c r="M20">
        <f t="shared" ca="1" si="1"/>
        <v>2</v>
      </c>
      <c r="N20">
        <v>80</v>
      </c>
      <c r="O20">
        <f t="shared" ca="1" si="2"/>
        <v>7</v>
      </c>
      <c r="P20">
        <f t="shared" ca="1" si="3"/>
        <v>87</v>
      </c>
      <c r="Q20">
        <f t="shared" ca="1" si="4"/>
        <v>9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-9</v>
      </c>
      <c r="P21">
        <f t="shared" ca="1" si="3"/>
        <v>71</v>
      </c>
      <c r="Q21">
        <f t="shared" ca="1" si="4"/>
        <v>18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5</v>
      </c>
      <c r="P22">
        <f t="shared" ca="1" si="3"/>
        <v>85</v>
      </c>
      <c r="Q22">
        <f t="shared" ca="1" si="4"/>
        <v>11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5</v>
      </c>
      <c r="P23">
        <f t="shared" ca="1" si="3"/>
        <v>85</v>
      </c>
      <c r="Q23">
        <f t="shared" ca="1" si="4"/>
        <v>11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oglio3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4</v>
      </c>
      <c r="P4">
        <f t="shared" ref="P4:P23" ca="1" si="3">N4+O4</f>
        <v>84</v>
      </c>
      <c r="Q4">
        <f t="shared" ref="Q4:Q23" ca="1" si="4">RANK(P4,$P$4:$P$23,0)</f>
        <v>12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10</v>
      </c>
      <c r="M5">
        <f t="shared" ca="1" si="1"/>
        <v>10</v>
      </c>
      <c r="N5">
        <v>80</v>
      </c>
      <c r="O5">
        <f t="shared" ca="1" si="2"/>
        <v>12</v>
      </c>
      <c r="P5">
        <f t="shared" ca="1" si="3"/>
        <v>92</v>
      </c>
      <c r="Q5">
        <f t="shared" ca="1" si="4"/>
        <v>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3</v>
      </c>
      <c r="P6">
        <f t="shared" ca="1" si="3"/>
        <v>83</v>
      </c>
      <c r="Q6">
        <f t="shared" ca="1" si="4"/>
        <v>14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3</v>
      </c>
      <c r="P7">
        <f t="shared" ca="1" si="3"/>
        <v>83</v>
      </c>
      <c r="Q7">
        <f t="shared" ca="1" si="4"/>
        <v>14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-12</v>
      </c>
      <c r="P8" s="2">
        <f t="shared" ca="1" si="3"/>
        <v>68</v>
      </c>
      <c r="Q8">
        <f t="shared" ca="1" si="4"/>
        <v>18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2</v>
      </c>
      <c r="M9">
        <f t="shared" ca="1" si="1"/>
        <v>2</v>
      </c>
      <c r="N9">
        <v>80</v>
      </c>
      <c r="O9">
        <f t="shared" ca="1" si="2"/>
        <v>7</v>
      </c>
      <c r="P9">
        <f t="shared" ca="1" si="3"/>
        <v>87</v>
      </c>
      <c r="Q9">
        <f t="shared" ca="1" si="4"/>
        <v>9</v>
      </c>
    </row>
    <row r="10" spans="1:20" x14ac:dyDescent="0.25">
      <c r="A10" t="s">
        <v>40</v>
      </c>
      <c r="B10" t="s">
        <v>28</v>
      </c>
      <c r="C10">
        <f t="shared" ca="1" si="0"/>
        <v>15</v>
      </c>
      <c r="M10">
        <f t="shared" ca="1" si="1"/>
        <v>15</v>
      </c>
      <c r="N10">
        <v>80</v>
      </c>
      <c r="O10">
        <f t="shared" ca="1" si="2"/>
        <v>13</v>
      </c>
      <c r="P10">
        <f t="shared" ca="1" si="3"/>
        <v>93</v>
      </c>
      <c r="Q10">
        <f t="shared" ca="1" si="4"/>
        <v>3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-5</v>
      </c>
      <c r="P11">
        <f t="shared" ca="1" si="3"/>
        <v>75</v>
      </c>
      <c r="Q11">
        <f t="shared" ca="1" si="4"/>
        <v>17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12</v>
      </c>
      <c r="P12">
        <f t="shared" ca="1" si="3"/>
        <v>92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</v>
      </c>
      <c r="M13">
        <f t="shared" ca="1" si="1"/>
        <v>2</v>
      </c>
      <c r="N13">
        <v>80</v>
      </c>
      <c r="O13">
        <f t="shared" ca="1" si="2"/>
        <v>7</v>
      </c>
      <c r="P13">
        <f t="shared" ca="1" si="3"/>
        <v>87</v>
      </c>
      <c r="Q13">
        <f t="shared" ca="1" si="4"/>
        <v>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-12</v>
      </c>
      <c r="P14">
        <f t="shared" ca="1" si="3"/>
        <v>68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25</v>
      </c>
      <c r="M15">
        <f t="shared" ca="1" si="1"/>
        <v>25</v>
      </c>
      <c r="N15">
        <v>80</v>
      </c>
      <c r="O15">
        <f t="shared" ca="1" si="2"/>
        <v>15</v>
      </c>
      <c r="P15">
        <f t="shared" ca="1" si="3"/>
        <v>95</v>
      </c>
      <c r="Q15">
        <f t="shared" ca="1" si="4"/>
        <v>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4</v>
      </c>
      <c r="M16">
        <f t="shared" ca="1" si="1"/>
        <v>4</v>
      </c>
      <c r="N16">
        <v>80</v>
      </c>
      <c r="O16">
        <f t="shared" ca="1" si="2"/>
        <v>9</v>
      </c>
      <c r="P16">
        <f t="shared" ca="1" si="3"/>
        <v>89</v>
      </c>
      <c r="Q16">
        <f t="shared" ca="1" si="4"/>
        <v>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</v>
      </c>
      <c r="M18">
        <f t="shared" ca="1" si="1"/>
        <v>2</v>
      </c>
      <c r="N18">
        <v>80</v>
      </c>
      <c r="O18">
        <f t="shared" ca="1" si="2"/>
        <v>7</v>
      </c>
      <c r="P18">
        <f t="shared" ca="1" si="3"/>
        <v>87</v>
      </c>
      <c r="Q18">
        <f t="shared" ca="1" si="4"/>
        <v>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-13</v>
      </c>
      <c r="P19">
        <f t="shared" ca="1" si="3"/>
        <v>67</v>
      </c>
      <c r="Q19">
        <f t="shared" ca="1" si="4"/>
        <v>20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18</v>
      </c>
      <c r="M20">
        <f t="shared" ca="1" si="1"/>
        <v>18</v>
      </c>
      <c r="N20">
        <v>80</v>
      </c>
      <c r="O20">
        <f t="shared" ca="1" si="2"/>
        <v>14</v>
      </c>
      <c r="P20">
        <f t="shared" ca="1" si="3"/>
        <v>94</v>
      </c>
      <c r="Q20">
        <f t="shared" ca="1" si="4"/>
        <v>2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6</v>
      </c>
      <c r="M21">
        <f t="shared" ca="1" si="1"/>
        <v>6</v>
      </c>
      <c r="N21">
        <v>80</v>
      </c>
      <c r="O21">
        <f t="shared" ca="1" si="2"/>
        <v>11</v>
      </c>
      <c r="P21">
        <f t="shared" ca="1" si="3"/>
        <v>91</v>
      </c>
      <c r="Q21">
        <f t="shared" ca="1" si="4"/>
        <v>7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15</v>
      </c>
      <c r="M22">
        <f t="shared" ca="1" si="1"/>
        <v>15</v>
      </c>
      <c r="N22">
        <v>80</v>
      </c>
      <c r="O22">
        <f t="shared" ca="1" si="2"/>
        <v>13</v>
      </c>
      <c r="P22">
        <f t="shared" ca="1" si="3"/>
        <v>93</v>
      </c>
      <c r="Q22">
        <f t="shared" ca="1" si="4"/>
        <v>3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4</v>
      </c>
      <c r="P23">
        <f t="shared" ca="1" si="3"/>
        <v>84</v>
      </c>
      <c r="Q23">
        <f t="shared" ca="1" si="4"/>
        <v>12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oglio3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-11</v>
      </c>
      <c r="P4">
        <f t="shared" ref="P4:P23" ca="1" si="3">N4+O4</f>
        <v>69</v>
      </c>
      <c r="Q4">
        <f t="shared" ref="Q4:Q23" ca="1" si="4">RANK(P4,$P$4:$P$23,0)</f>
        <v>17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-6</v>
      </c>
      <c r="P5">
        <f t="shared" ca="1" si="3"/>
        <v>74</v>
      </c>
      <c r="Q5">
        <f t="shared" ca="1" si="4"/>
        <v>15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-2</v>
      </c>
      <c r="P6">
        <f t="shared" ca="1" si="3"/>
        <v>78</v>
      </c>
      <c r="Q6">
        <f t="shared" ca="1" si="4"/>
        <v>13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5</v>
      </c>
      <c r="P7">
        <f t="shared" ca="1" si="3"/>
        <v>85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12</v>
      </c>
      <c r="M8">
        <f t="shared" ca="1" si="1"/>
        <v>12</v>
      </c>
      <c r="N8">
        <v>80</v>
      </c>
      <c r="O8" s="2">
        <f t="shared" ca="1" si="2"/>
        <v>7</v>
      </c>
      <c r="P8" s="2">
        <f t="shared" ca="1" si="3"/>
        <v>87</v>
      </c>
      <c r="Q8">
        <f t="shared" ca="1" si="4"/>
        <v>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25</v>
      </c>
      <c r="M9">
        <f t="shared" ca="1" si="1"/>
        <v>25</v>
      </c>
      <c r="N9">
        <v>80</v>
      </c>
      <c r="O9">
        <f t="shared" ca="1" si="2"/>
        <v>12</v>
      </c>
      <c r="P9">
        <f t="shared" ca="1" si="3"/>
        <v>92</v>
      </c>
      <c r="Q9">
        <f t="shared" ca="1" si="4"/>
        <v>1</v>
      </c>
    </row>
    <row r="10" spans="1:20" x14ac:dyDescent="0.25">
      <c r="A10" t="s">
        <v>40</v>
      </c>
      <c r="B10" t="s">
        <v>28</v>
      </c>
      <c r="C10">
        <f t="shared" ca="1" si="0"/>
        <v>8</v>
      </c>
      <c r="M10">
        <f t="shared" ca="1" si="1"/>
        <v>8</v>
      </c>
      <c r="N10">
        <v>80</v>
      </c>
      <c r="O10">
        <f t="shared" ca="1" si="2"/>
        <v>5</v>
      </c>
      <c r="P10">
        <f t="shared" ca="1" si="3"/>
        <v>85</v>
      </c>
      <c r="Q10">
        <f t="shared" ca="1" si="4"/>
        <v>6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-13</v>
      </c>
      <c r="P11">
        <f t="shared" ca="1" si="3"/>
        <v>67</v>
      </c>
      <c r="Q11">
        <f t="shared" ca="1" si="4"/>
        <v>19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-5</v>
      </c>
      <c r="P12">
        <f t="shared" ca="1" si="3"/>
        <v>75</v>
      </c>
      <c r="Q12">
        <f t="shared" ca="1" si="4"/>
        <v>14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4</v>
      </c>
      <c r="M13">
        <f t="shared" ca="1" si="1"/>
        <v>4</v>
      </c>
      <c r="N13">
        <v>80</v>
      </c>
      <c r="O13">
        <f t="shared" ca="1" si="2"/>
        <v>4</v>
      </c>
      <c r="P13">
        <f t="shared" ca="1" si="3"/>
        <v>84</v>
      </c>
      <c r="Q13">
        <f t="shared" ca="1" si="4"/>
        <v>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-6</v>
      </c>
      <c r="P14">
        <f t="shared" ca="1" si="3"/>
        <v>74</v>
      </c>
      <c r="Q14">
        <f t="shared" ca="1" si="4"/>
        <v>15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-14</v>
      </c>
      <c r="P15">
        <f t="shared" ca="1" si="3"/>
        <v>66</v>
      </c>
      <c r="Q15">
        <f t="shared" ca="1" si="4"/>
        <v>20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18</v>
      </c>
      <c r="M16">
        <f t="shared" ca="1" si="1"/>
        <v>18</v>
      </c>
      <c r="N16">
        <v>80</v>
      </c>
      <c r="O16">
        <f t="shared" ca="1" si="2"/>
        <v>11</v>
      </c>
      <c r="P16">
        <f t="shared" ca="1" si="3"/>
        <v>91</v>
      </c>
      <c r="Q16">
        <f t="shared" ca="1" si="4"/>
        <v>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0</v>
      </c>
      <c r="P18">
        <f t="shared" ca="1" si="3"/>
        <v>80</v>
      </c>
      <c r="Q18">
        <f t="shared" ca="1" si="4"/>
        <v>12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10</v>
      </c>
      <c r="M19">
        <f t="shared" ca="1" si="1"/>
        <v>10</v>
      </c>
      <c r="N19">
        <v>80</v>
      </c>
      <c r="O19">
        <f t="shared" ca="1" si="2"/>
        <v>6</v>
      </c>
      <c r="P19">
        <f t="shared" ca="1" si="3"/>
        <v>86</v>
      </c>
      <c r="Q19">
        <f t="shared" ca="1" si="4"/>
        <v>5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-12</v>
      </c>
      <c r="P20">
        <f t="shared" ca="1" si="3"/>
        <v>68</v>
      </c>
      <c r="Q20">
        <f t="shared" ca="1" si="4"/>
        <v>18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</v>
      </c>
      <c r="M21">
        <f t="shared" ca="1" si="1"/>
        <v>2</v>
      </c>
      <c r="N21">
        <v>80</v>
      </c>
      <c r="O21">
        <f t="shared" ca="1" si="2"/>
        <v>2</v>
      </c>
      <c r="P21">
        <f t="shared" ca="1" si="3"/>
        <v>82</v>
      </c>
      <c r="Q21">
        <f t="shared" ca="1" si="4"/>
        <v>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1</v>
      </c>
      <c r="P22">
        <f t="shared" ca="1" si="3"/>
        <v>81</v>
      </c>
      <c r="Q22">
        <f t="shared" ca="1" si="4"/>
        <v>11</v>
      </c>
    </row>
    <row r="23" spans="1:20" x14ac:dyDescent="0.25">
      <c r="A23" t="s">
        <v>54</v>
      </c>
      <c r="B23" t="s">
        <v>37</v>
      </c>
      <c r="C23">
        <f t="shared" ca="1" si="0"/>
        <v>15</v>
      </c>
      <c r="M23">
        <f t="shared" ca="1" si="1"/>
        <v>15</v>
      </c>
      <c r="N23">
        <v>80</v>
      </c>
      <c r="O23">
        <f t="shared" ca="1" si="2"/>
        <v>10</v>
      </c>
      <c r="P23">
        <f t="shared" ca="1" si="3"/>
        <v>90</v>
      </c>
      <c r="Q23">
        <f t="shared" ca="1" si="4"/>
        <v>3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oglio3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25</v>
      </c>
      <c r="M4">
        <f t="shared" ref="M4:M23" ca="1" si="1">SUM(C4:L4)</f>
        <v>25</v>
      </c>
      <c r="N4">
        <v>80</v>
      </c>
      <c r="O4">
        <f t="shared" ref="O4:O23" ca="1" si="2">RANDBETWEEN(-15,15)</f>
        <v>15</v>
      </c>
      <c r="P4">
        <f t="shared" ref="P4:P23" ca="1" si="3">N4+O4</f>
        <v>95</v>
      </c>
      <c r="Q4">
        <f t="shared" ref="Q4:Q23" ca="1" si="4">RANK(P4,$P$4:$P$23,0)</f>
        <v>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15</v>
      </c>
      <c r="M5">
        <f t="shared" ca="1" si="1"/>
        <v>15</v>
      </c>
      <c r="N5">
        <v>80</v>
      </c>
      <c r="O5">
        <f t="shared" ca="1" si="2"/>
        <v>13</v>
      </c>
      <c r="P5">
        <f t="shared" ca="1" si="3"/>
        <v>93</v>
      </c>
      <c r="Q5">
        <f t="shared" ca="1" si="4"/>
        <v>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11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-14</v>
      </c>
      <c r="P7">
        <f t="shared" ca="1" si="3"/>
        <v>66</v>
      </c>
      <c r="Q7">
        <f t="shared" ca="1" si="4"/>
        <v>20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10</v>
      </c>
      <c r="M8">
        <f t="shared" ca="1" si="1"/>
        <v>10</v>
      </c>
      <c r="N8">
        <v>80</v>
      </c>
      <c r="O8" s="2">
        <f t="shared" ca="1" si="2"/>
        <v>10</v>
      </c>
      <c r="P8" s="2">
        <f t="shared" ca="1" si="3"/>
        <v>90</v>
      </c>
      <c r="Q8">
        <f t="shared" ca="1" si="4"/>
        <v>5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12</v>
      </c>
      <c r="M9">
        <f t="shared" ca="1" si="1"/>
        <v>12</v>
      </c>
      <c r="N9">
        <v>80</v>
      </c>
      <c r="O9">
        <f t="shared" ca="1" si="2"/>
        <v>12</v>
      </c>
      <c r="P9">
        <f t="shared" ca="1" si="3"/>
        <v>92</v>
      </c>
      <c r="Q9">
        <f t="shared" ca="1" si="4"/>
        <v>4</v>
      </c>
    </row>
    <row r="10" spans="1:20" x14ac:dyDescent="0.25">
      <c r="A10" t="s">
        <v>40</v>
      </c>
      <c r="B10" t="s">
        <v>28</v>
      </c>
      <c r="C10">
        <f t="shared" ca="1" si="0"/>
        <v>25</v>
      </c>
      <c r="M10">
        <f t="shared" ca="1" si="1"/>
        <v>25</v>
      </c>
      <c r="N10">
        <v>80</v>
      </c>
      <c r="O10">
        <f t="shared" ca="1" si="2"/>
        <v>15</v>
      </c>
      <c r="P10">
        <f t="shared" ca="1" si="3"/>
        <v>95</v>
      </c>
      <c r="Q10">
        <f t="shared" ca="1" si="4"/>
        <v>1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2</v>
      </c>
      <c r="P11">
        <f t="shared" ca="1" si="3"/>
        <v>82</v>
      </c>
      <c r="Q11">
        <f t="shared" ca="1" si="4"/>
        <v>11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-2</v>
      </c>
      <c r="P12">
        <f t="shared" ca="1" si="3"/>
        <v>78</v>
      </c>
      <c r="Q12">
        <f t="shared" ca="1" si="4"/>
        <v>18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-6</v>
      </c>
      <c r="P13">
        <f t="shared" ca="1" si="3"/>
        <v>74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0</v>
      </c>
      <c r="P14">
        <f t="shared" ca="1" si="3"/>
        <v>80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2</v>
      </c>
      <c r="P15">
        <f t="shared" ca="1" si="3"/>
        <v>82</v>
      </c>
      <c r="Q15">
        <f t="shared" ca="1" si="4"/>
        <v>11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8</v>
      </c>
      <c r="M16">
        <f t="shared" ca="1" si="1"/>
        <v>8</v>
      </c>
      <c r="N16">
        <v>80</v>
      </c>
      <c r="O16">
        <f t="shared" ca="1" si="2"/>
        <v>8</v>
      </c>
      <c r="P16">
        <f t="shared" ca="1" si="3"/>
        <v>88</v>
      </c>
      <c r="Q16">
        <f t="shared" ca="1" si="4"/>
        <v>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</v>
      </c>
      <c r="P18">
        <f t="shared" ca="1" si="3"/>
        <v>79</v>
      </c>
      <c r="Q18">
        <f t="shared" ca="1" si="4"/>
        <v>17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0</v>
      </c>
      <c r="P19">
        <f t="shared" ca="1" si="3"/>
        <v>80</v>
      </c>
      <c r="Q19">
        <f t="shared" ca="1" si="4"/>
        <v>14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4</v>
      </c>
      <c r="M20">
        <f t="shared" ca="1" si="1"/>
        <v>4</v>
      </c>
      <c r="N20">
        <v>80</v>
      </c>
      <c r="O20">
        <f t="shared" ca="1" si="2"/>
        <v>6</v>
      </c>
      <c r="P20">
        <f t="shared" ca="1" si="3"/>
        <v>86</v>
      </c>
      <c r="Q20">
        <f t="shared" ca="1" si="4"/>
        <v>8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</v>
      </c>
      <c r="M21">
        <f t="shared" ca="1" si="1"/>
        <v>2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0</v>
      </c>
      <c r="P22">
        <f t="shared" ca="1" si="3"/>
        <v>80</v>
      </c>
      <c r="Q22">
        <f t="shared" ca="1" si="4"/>
        <v>14</v>
      </c>
    </row>
    <row r="23" spans="1:20" x14ac:dyDescent="0.25">
      <c r="A23" t="s">
        <v>54</v>
      </c>
      <c r="B23" t="s">
        <v>37</v>
      </c>
      <c r="C23">
        <f t="shared" ca="1" si="0"/>
        <v>8</v>
      </c>
      <c r="M23">
        <f t="shared" ca="1" si="1"/>
        <v>8</v>
      </c>
      <c r="N23">
        <v>80</v>
      </c>
      <c r="O23">
        <f t="shared" ca="1" si="2"/>
        <v>8</v>
      </c>
      <c r="P23">
        <f t="shared" ca="1" si="3"/>
        <v>88</v>
      </c>
      <c r="Q23">
        <f t="shared" ca="1" si="4"/>
        <v>6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oglio34"/>
  <dimension ref="A1:AG47"/>
  <sheetViews>
    <sheetView workbookViewId="0">
      <pane ySplit="3" topLeftCell="A11" activePane="bottomLeft" state="frozen"/>
      <selection pane="bottomLeft" activeCell="U31" sqref="U31"/>
    </sheetView>
  </sheetViews>
  <sheetFormatPr defaultRowHeight="15" x14ac:dyDescent="0.25"/>
  <cols>
    <col min="1" max="26" width="16" customWidth="1"/>
  </cols>
  <sheetData>
    <row r="1" spans="1:33" ht="21" x14ac:dyDescent="0.35">
      <c r="A1" s="1" t="s">
        <v>86</v>
      </c>
    </row>
    <row r="3" spans="1:33" ht="15.75" thickBot="1" x14ac:dyDescent="0.3">
      <c r="A3" s="2" t="s">
        <v>6</v>
      </c>
      <c r="B3" s="2" t="s">
        <v>7</v>
      </c>
      <c r="C3" s="7" t="s">
        <v>301</v>
      </c>
      <c r="D3" s="7" t="s">
        <v>302</v>
      </c>
      <c r="E3" s="7" t="s">
        <v>303</v>
      </c>
      <c r="F3" s="7" t="s">
        <v>304</v>
      </c>
      <c r="G3" s="7" t="s">
        <v>143</v>
      </c>
      <c r="H3" s="7" t="s">
        <v>140</v>
      </c>
      <c r="I3" s="7" t="s">
        <v>305</v>
      </c>
      <c r="J3" s="7" t="s">
        <v>306</v>
      </c>
      <c r="K3" s="7" t="s">
        <v>197</v>
      </c>
      <c r="L3" s="7" t="s">
        <v>139</v>
      </c>
      <c r="M3" s="7" t="s">
        <v>144</v>
      </c>
      <c r="N3" s="7" t="s">
        <v>160</v>
      </c>
      <c r="O3" s="7" t="s">
        <v>307</v>
      </c>
      <c r="P3" s="7" t="s">
        <v>142</v>
      </c>
      <c r="Q3" s="7" t="s">
        <v>145</v>
      </c>
      <c r="R3" s="7" t="s">
        <v>308</v>
      </c>
      <c r="S3" s="2" t="s">
        <v>18</v>
      </c>
      <c r="T3" s="17" t="s">
        <v>276</v>
      </c>
      <c r="U3" s="17" t="s">
        <v>277</v>
      </c>
      <c r="V3" s="17" t="s">
        <v>278</v>
      </c>
      <c r="W3" s="17" t="s">
        <v>19</v>
      </c>
      <c r="X3" s="17" t="s">
        <v>158</v>
      </c>
      <c r="Y3" s="16" t="s">
        <v>20</v>
      </c>
      <c r="Z3" s="16" t="s">
        <v>21</v>
      </c>
      <c r="AA3" s="16" t="s">
        <v>22</v>
      </c>
      <c r="AB3" s="50" t="s">
        <v>187</v>
      </c>
    </row>
    <row r="4" spans="1:33" ht="20.25" thickTop="1" thickBot="1" x14ac:dyDescent="0.45">
      <c r="A4" s="22" t="s">
        <v>309</v>
      </c>
      <c r="B4" s="22" t="s">
        <v>335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>
        <f t="shared" ref="S4:S23" si="0">SUM(C4:R4)</f>
        <v>0</v>
      </c>
      <c r="T4" s="27"/>
      <c r="U4" s="27"/>
      <c r="V4" s="27"/>
      <c r="W4" s="27">
        <f>T4+U4+V4+69</f>
        <v>69</v>
      </c>
      <c r="X4" s="21">
        <f>W4*$W$30</f>
        <v>123786</v>
      </c>
      <c r="Y4" s="20">
        <f ca="1">W4+RAND()*6</f>
        <v>72.986178234340983</v>
      </c>
      <c r="Z4" s="20">
        <f ca="1">W4+Y4</f>
        <v>141.98617823434097</v>
      </c>
      <c r="AA4" s="49">
        <f ca="1">RANK(Z4,$Z$4:$Z$23,0)</f>
        <v>10</v>
      </c>
      <c r="AB4" s="51" t="str">
        <f ca="1">IF(RAND()&lt;0.2-(U4)/50,"DNF","OK")</f>
        <v>DNF</v>
      </c>
    </row>
    <row r="5" spans="1:33" ht="20.25" thickTop="1" thickBot="1" x14ac:dyDescent="0.45">
      <c r="A5" s="22" t="s">
        <v>310</v>
      </c>
      <c r="B5" s="22" t="s">
        <v>261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>
        <f t="shared" si="0"/>
        <v>0</v>
      </c>
      <c r="T5" s="27"/>
      <c r="U5" s="27"/>
      <c r="V5" s="27"/>
      <c r="W5" s="27">
        <f t="shared" ref="W5:W29" si="1">T5+U5+V5+69</f>
        <v>69</v>
      </c>
      <c r="X5" s="21">
        <f t="shared" ref="X5:X29" si="2">W5*$W$30</f>
        <v>123786</v>
      </c>
      <c r="Y5" s="20">
        <f t="shared" ref="Y5:Y29" ca="1" si="3">W5+RAND()*6</f>
        <v>73.428712786034623</v>
      </c>
      <c r="Z5" s="20">
        <f t="shared" ref="Z5:Z29" ca="1" si="4">W5+Y5</f>
        <v>142.42871278603462</v>
      </c>
      <c r="AA5" s="49">
        <f t="shared" ref="AA5:AA23" ca="1" si="5">RANK(Z5,$Z$4:$Z$23,0)</f>
        <v>7</v>
      </c>
      <c r="AB5" s="51" t="str">
        <f t="shared" ref="AB5:AB29" ca="1" si="6">IF(RAND()&lt;0.2-(U5)/50,"DNF","OK")</f>
        <v>OK</v>
      </c>
      <c r="AF5" s="73" t="s">
        <v>346</v>
      </c>
      <c r="AG5" s="73"/>
    </row>
    <row r="6" spans="1:33" ht="20.25" thickTop="1" thickBot="1" x14ac:dyDescent="0.45">
      <c r="A6" s="22" t="s">
        <v>311</v>
      </c>
      <c r="B6" s="22" t="s">
        <v>336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>
        <f t="shared" si="0"/>
        <v>0</v>
      </c>
      <c r="T6" s="27"/>
      <c r="U6" s="27"/>
      <c r="V6" s="27"/>
      <c r="W6" s="27">
        <f t="shared" si="1"/>
        <v>69</v>
      </c>
      <c r="X6" s="21">
        <f t="shared" si="2"/>
        <v>123786</v>
      </c>
      <c r="Y6" s="20">
        <f t="shared" ca="1" si="3"/>
        <v>71.926408885856119</v>
      </c>
      <c r="Z6" s="20">
        <f t="shared" ca="1" si="4"/>
        <v>140.92640888585612</v>
      </c>
      <c r="AA6" s="49">
        <f t="shared" ca="1" si="5"/>
        <v>13</v>
      </c>
      <c r="AB6" s="51" t="str">
        <f t="shared" ca="1" si="6"/>
        <v>OK</v>
      </c>
      <c r="AF6" t="s">
        <v>347</v>
      </c>
      <c r="AG6">
        <v>9</v>
      </c>
    </row>
    <row r="7" spans="1:33" ht="20.25" thickTop="1" thickBot="1" x14ac:dyDescent="0.45">
      <c r="A7" s="22" t="s">
        <v>312</v>
      </c>
      <c r="B7" s="22" t="s">
        <v>337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>
        <f t="shared" si="0"/>
        <v>0</v>
      </c>
      <c r="T7" s="27"/>
      <c r="U7" s="27"/>
      <c r="V7" s="27"/>
      <c r="W7" s="27">
        <f t="shared" si="1"/>
        <v>69</v>
      </c>
      <c r="X7" s="21">
        <f t="shared" si="2"/>
        <v>123786</v>
      </c>
      <c r="Y7" s="20">
        <f t="shared" ca="1" si="3"/>
        <v>74.670015815190581</v>
      </c>
      <c r="Z7" s="20">
        <f t="shared" ca="1" si="4"/>
        <v>143.6700158151906</v>
      </c>
      <c r="AA7" s="49">
        <f t="shared" ca="1" si="5"/>
        <v>1</v>
      </c>
      <c r="AB7" s="51" t="str">
        <f t="shared" ca="1" si="6"/>
        <v>OK</v>
      </c>
      <c r="AF7" t="s">
        <v>348</v>
      </c>
      <c r="AG7">
        <v>6</v>
      </c>
    </row>
    <row r="8" spans="1:33" ht="20.25" thickTop="1" thickBot="1" x14ac:dyDescent="0.45">
      <c r="A8" s="22" t="s">
        <v>313</v>
      </c>
      <c r="B8" s="22" t="s">
        <v>336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>
        <f t="shared" si="0"/>
        <v>0</v>
      </c>
      <c r="T8" s="27"/>
      <c r="U8" s="27"/>
      <c r="V8" s="27"/>
      <c r="W8" s="27">
        <f t="shared" si="1"/>
        <v>69</v>
      </c>
      <c r="X8" s="21">
        <f t="shared" si="2"/>
        <v>123786</v>
      </c>
      <c r="Y8" s="20">
        <f t="shared" ca="1" si="3"/>
        <v>73.855593410309652</v>
      </c>
      <c r="Z8" s="20">
        <f t="shared" ca="1" si="4"/>
        <v>142.85559341030967</v>
      </c>
      <c r="AA8" s="49">
        <f t="shared" ca="1" si="5"/>
        <v>5</v>
      </c>
      <c r="AB8" s="51" t="str">
        <f t="shared" ca="1" si="6"/>
        <v>OK</v>
      </c>
      <c r="AF8" t="s">
        <v>349</v>
      </c>
      <c r="AG8">
        <v>4</v>
      </c>
    </row>
    <row r="9" spans="1:33" ht="20.25" thickTop="1" thickBot="1" x14ac:dyDescent="0.45">
      <c r="A9" s="22" t="s">
        <v>314</v>
      </c>
      <c r="B9" s="22" t="s">
        <v>337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>
        <f t="shared" si="0"/>
        <v>0</v>
      </c>
      <c r="T9" s="27"/>
      <c r="U9" s="27"/>
      <c r="V9" s="27"/>
      <c r="W9" s="27">
        <f t="shared" si="1"/>
        <v>69</v>
      </c>
      <c r="X9" s="21">
        <f t="shared" si="2"/>
        <v>123786</v>
      </c>
      <c r="Y9" s="20">
        <f t="shared" ca="1" si="3"/>
        <v>69.195822911136347</v>
      </c>
      <c r="Z9" s="20">
        <f t="shared" ca="1" si="4"/>
        <v>138.19582291113636</v>
      </c>
      <c r="AA9" s="49">
        <f t="shared" ca="1" si="5"/>
        <v>20</v>
      </c>
      <c r="AB9" s="51" t="str">
        <f t="shared" ca="1" si="6"/>
        <v>OK</v>
      </c>
      <c r="AF9" t="s">
        <v>350</v>
      </c>
      <c r="AG9">
        <v>3</v>
      </c>
    </row>
    <row r="10" spans="1:33" ht="20.25" thickTop="1" thickBot="1" x14ac:dyDescent="0.45">
      <c r="A10" s="22" t="s">
        <v>315</v>
      </c>
      <c r="B10" s="22" t="s">
        <v>261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>
        <f t="shared" si="0"/>
        <v>0</v>
      </c>
      <c r="T10" s="27"/>
      <c r="U10" s="27"/>
      <c r="V10" s="27"/>
      <c r="W10" s="27">
        <f t="shared" si="1"/>
        <v>69</v>
      </c>
      <c r="X10" s="21">
        <f t="shared" si="2"/>
        <v>123786</v>
      </c>
      <c r="Y10" s="20">
        <f t="shared" ca="1" si="3"/>
        <v>73.944375848380929</v>
      </c>
      <c r="Z10" s="20">
        <f t="shared" ca="1" si="4"/>
        <v>142.94437584838093</v>
      </c>
      <c r="AA10" s="49">
        <f t="shared" ca="1" si="5"/>
        <v>4</v>
      </c>
      <c r="AB10" s="51" t="str">
        <f t="shared" ca="1" si="6"/>
        <v>OK</v>
      </c>
      <c r="AF10" t="s">
        <v>351</v>
      </c>
      <c r="AG10">
        <v>2</v>
      </c>
    </row>
    <row r="11" spans="1:33" ht="20.25" thickTop="1" thickBot="1" x14ac:dyDescent="0.45">
      <c r="A11" s="22" t="s">
        <v>316</v>
      </c>
      <c r="B11" s="22" t="s">
        <v>338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>
        <f t="shared" si="0"/>
        <v>0</v>
      </c>
      <c r="T11" s="27"/>
      <c r="U11" s="27"/>
      <c r="V11" s="27"/>
      <c r="W11" s="27">
        <f t="shared" si="1"/>
        <v>69</v>
      </c>
      <c r="X11" s="21">
        <f t="shared" si="2"/>
        <v>123786</v>
      </c>
      <c r="Y11" s="20">
        <f t="shared" ca="1" si="3"/>
        <v>73.715291084600977</v>
      </c>
      <c r="Z11" s="20">
        <f t="shared" ca="1" si="4"/>
        <v>142.71529108460098</v>
      </c>
      <c r="AA11" s="49">
        <f t="shared" ca="1" si="5"/>
        <v>6</v>
      </c>
      <c r="AB11" s="51" t="str">
        <f t="shared" ca="1" si="6"/>
        <v>DNF</v>
      </c>
      <c r="AF11" t="s">
        <v>352</v>
      </c>
      <c r="AG11">
        <v>1</v>
      </c>
    </row>
    <row r="12" spans="1:33" ht="20.25" thickTop="1" thickBot="1" x14ac:dyDescent="0.45">
      <c r="A12" s="22" t="s">
        <v>317</v>
      </c>
      <c r="B12" s="22" t="s">
        <v>267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>
        <f t="shared" si="0"/>
        <v>0</v>
      </c>
      <c r="T12" s="27"/>
      <c r="U12" s="27"/>
      <c r="V12" s="27"/>
      <c r="W12" s="27">
        <f t="shared" si="1"/>
        <v>69</v>
      </c>
      <c r="X12" s="21">
        <f t="shared" si="2"/>
        <v>123786</v>
      </c>
      <c r="Y12" s="20">
        <f t="shared" ca="1" si="3"/>
        <v>74.334450298973877</v>
      </c>
      <c r="Z12" s="20">
        <f t="shared" ca="1" si="4"/>
        <v>143.33445029897388</v>
      </c>
      <c r="AA12" s="49">
        <f t="shared" ca="1" si="5"/>
        <v>2</v>
      </c>
      <c r="AB12" s="51" t="str">
        <f t="shared" ca="1" si="6"/>
        <v>OK</v>
      </c>
    </row>
    <row r="13" spans="1:33" ht="20.25" thickTop="1" thickBot="1" x14ac:dyDescent="0.45">
      <c r="A13" s="22" t="s">
        <v>318</v>
      </c>
      <c r="B13" s="22" t="s">
        <v>339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>
        <f t="shared" si="0"/>
        <v>0</v>
      </c>
      <c r="T13" s="27"/>
      <c r="U13" s="27"/>
      <c r="V13" s="27"/>
      <c r="W13" s="27">
        <f t="shared" si="1"/>
        <v>69</v>
      </c>
      <c r="X13" s="21">
        <f t="shared" si="2"/>
        <v>123786</v>
      </c>
      <c r="Y13" s="20">
        <f t="shared" ca="1" si="3"/>
        <v>72.173318693458071</v>
      </c>
      <c r="Z13" s="20">
        <f t="shared" ca="1" si="4"/>
        <v>141.17331869345807</v>
      </c>
      <c r="AA13" s="49">
        <f t="shared" ca="1" si="5"/>
        <v>12</v>
      </c>
      <c r="AB13" s="51" t="str">
        <f t="shared" ca="1" si="6"/>
        <v>DNF</v>
      </c>
    </row>
    <row r="14" spans="1:33" ht="20.25" thickTop="1" thickBot="1" x14ac:dyDescent="0.45">
      <c r="A14" s="22" t="s">
        <v>319</v>
      </c>
      <c r="B14" s="22" t="s">
        <v>339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>
        <f t="shared" si="0"/>
        <v>0</v>
      </c>
      <c r="T14" s="27"/>
      <c r="U14" s="27"/>
      <c r="V14" s="27"/>
      <c r="W14" s="27">
        <f t="shared" si="1"/>
        <v>69</v>
      </c>
      <c r="X14" s="21">
        <f t="shared" si="2"/>
        <v>123786</v>
      </c>
      <c r="Y14" s="20">
        <f t="shared" ca="1" si="3"/>
        <v>71.221914966828777</v>
      </c>
      <c r="Z14" s="20">
        <f t="shared" ca="1" si="4"/>
        <v>140.22191496682876</v>
      </c>
      <c r="AA14" s="49">
        <f t="shared" ca="1" si="5"/>
        <v>15</v>
      </c>
      <c r="AB14" s="51" t="str">
        <f t="shared" ca="1" si="6"/>
        <v>DNF</v>
      </c>
    </row>
    <row r="15" spans="1:33" ht="20.25" thickTop="1" thickBot="1" x14ac:dyDescent="0.45">
      <c r="A15" s="22" t="s">
        <v>320</v>
      </c>
      <c r="B15" s="22" t="s">
        <v>340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>
        <f t="shared" si="0"/>
        <v>0</v>
      </c>
      <c r="T15" s="27"/>
      <c r="U15" s="27"/>
      <c r="V15" s="27"/>
      <c r="W15" s="27">
        <f t="shared" si="1"/>
        <v>69</v>
      </c>
      <c r="X15" s="21">
        <f t="shared" si="2"/>
        <v>123786</v>
      </c>
      <c r="Y15" s="20">
        <f t="shared" ca="1" si="3"/>
        <v>69.55452443283211</v>
      </c>
      <c r="Z15" s="20">
        <f t="shared" ca="1" si="4"/>
        <v>138.55452443283212</v>
      </c>
      <c r="AA15" s="49">
        <f t="shared" ca="1" si="5"/>
        <v>17</v>
      </c>
      <c r="AB15" s="51" t="str">
        <f t="shared" ca="1" si="6"/>
        <v>OK</v>
      </c>
    </row>
    <row r="16" spans="1:33" ht="20.25" thickTop="1" thickBot="1" x14ac:dyDescent="0.45">
      <c r="A16" s="22" t="s">
        <v>321</v>
      </c>
      <c r="B16" s="22" t="s">
        <v>335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>
        <f t="shared" si="0"/>
        <v>0</v>
      </c>
      <c r="T16" s="27"/>
      <c r="U16" s="27"/>
      <c r="V16" s="27"/>
      <c r="W16" s="27">
        <f t="shared" si="1"/>
        <v>69</v>
      </c>
      <c r="X16" s="21">
        <f t="shared" si="2"/>
        <v>123786</v>
      </c>
      <c r="Y16" s="20">
        <f t="shared" ca="1" si="3"/>
        <v>72.659938008956075</v>
      </c>
      <c r="Z16" s="20">
        <f t="shared" ca="1" si="4"/>
        <v>141.65993800895609</v>
      </c>
      <c r="AA16" s="49">
        <f t="shared" ca="1" si="5"/>
        <v>11</v>
      </c>
      <c r="AB16" s="51" t="str">
        <f t="shared" ca="1" si="6"/>
        <v>OK</v>
      </c>
    </row>
    <row r="17" spans="1:28" ht="20.25" thickTop="1" thickBot="1" x14ac:dyDescent="0.45">
      <c r="A17" s="22" t="s">
        <v>322</v>
      </c>
      <c r="B17" s="22" t="s">
        <v>267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>
        <f t="shared" si="0"/>
        <v>0</v>
      </c>
      <c r="T17" s="27"/>
      <c r="U17" s="27"/>
      <c r="V17" s="27"/>
      <c r="W17" s="27">
        <f t="shared" si="1"/>
        <v>69</v>
      </c>
      <c r="X17" s="21">
        <f t="shared" si="2"/>
        <v>123786</v>
      </c>
      <c r="Y17" s="20">
        <f t="shared" ca="1" si="3"/>
        <v>73.344994239569786</v>
      </c>
      <c r="Z17" s="20">
        <f t="shared" ca="1" si="4"/>
        <v>142.34499423956979</v>
      </c>
      <c r="AA17" s="49">
        <f t="shared" ca="1" si="5"/>
        <v>8</v>
      </c>
      <c r="AB17" s="51" t="str">
        <f t="shared" ca="1" si="6"/>
        <v>DNF</v>
      </c>
    </row>
    <row r="18" spans="1:28" ht="20.25" thickTop="1" thickBot="1" x14ac:dyDescent="0.45">
      <c r="A18" s="22" t="s">
        <v>323</v>
      </c>
      <c r="B18" s="22" t="s">
        <v>335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>
        <f t="shared" si="0"/>
        <v>0</v>
      </c>
      <c r="T18" s="27"/>
      <c r="U18" s="27"/>
      <c r="V18" s="27"/>
      <c r="W18" s="27">
        <f t="shared" si="1"/>
        <v>69</v>
      </c>
      <c r="X18" s="21">
        <f t="shared" si="2"/>
        <v>123786</v>
      </c>
      <c r="Y18" s="20">
        <f t="shared" ca="1" si="3"/>
        <v>69.547633280531073</v>
      </c>
      <c r="Z18" s="20">
        <f t="shared" ca="1" si="4"/>
        <v>138.54763328053107</v>
      </c>
      <c r="AA18" s="49">
        <f t="shared" ca="1" si="5"/>
        <v>18</v>
      </c>
      <c r="AB18" s="51" t="str">
        <f t="shared" ca="1" si="6"/>
        <v>DNF</v>
      </c>
    </row>
    <row r="19" spans="1:28" ht="20.25" thickTop="1" thickBot="1" x14ac:dyDescent="0.45">
      <c r="A19" s="22" t="s">
        <v>324</v>
      </c>
      <c r="B19" s="22" t="s">
        <v>261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>
        <f t="shared" si="0"/>
        <v>0</v>
      </c>
      <c r="T19" s="27"/>
      <c r="U19" s="27"/>
      <c r="V19" s="27"/>
      <c r="W19" s="27">
        <f t="shared" si="1"/>
        <v>69</v>
      </c>
      <c r="X19" s="21">
        <f t="shared" si="2"/>
        <v>123786</v>
      </c>
      <c r="Y19" s="20">
        <f t="shared" ca="1" si="3"/>
        <v>69.229241380431304</v>
      </c>
      <c r="Z19" s="20">
        <f t="shared" ca="1" si="4"/>
        <v>138.22924138043129</v>
      </c>
      <c r="AA19" s="49">
        <f t="shared" ca="1" si="5"/>
        <v>19</v>
      </c>
      <c r="AB19" s="51" t="str">
        <f t="shared" ca="1" si="6"/>
        <v>OK</v>
      </c>
    </row>
    <row r="20" spans="1:28" ht="20.25" thickTop="1" thickBot="1" x14ac:dyDescent="0.45">
      <c r="A20" s="22" t="s">
        <v>325</v>
      </c>
      <c r="B20" s="22" t="s">
        <v>341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>
        <f t="shared" si="0"/>
        <v>0</v>
      </c>
      <c r="T20" s="27"/>
      <c r="U20" s="27"/>
      <c r="V20" s="27"/>
      <c r="W20" s="27">
        <f t="shared" si="1"/>
        <v>69</v>
      </c>
      <c r="X20" s="21">
        <f t="shared" si="2"/>
        <v>123786</v>
      </c>
      <c r="Y20" s="20">
        <f t="shared" ca="1" si="3"/>
        <v>74.163069976003953</v>
      </c>
      <c r="Z20" s="20">
        <f t="shared" ca="1" si="4"/>
        <v>143.16306997600395</v>
      </c>
      <c r="AA20" s="49">
        <f t="shared" ca="1" si="5"/>
        <v>3</v>
      </c>
      <c r="AB20" s="51" t="str">
        <f t="shared" ca="1" si="6"/>
        <v>OK</v>
      </c>
    </row>
    <row r="21" spans="1:28" ht="20.25" thickTop="1" thickBot="1" x14ac:dyDescent="0.45">
      <c r="A21" s="22" t="s">
        <v>326</v>
      </c>
      <c r="B21" s="22" t="s">
        <v>340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>
        <f t="shared" si="0"/>
        <v>0</v>
      </c>
      <c r="T21" s="27"/>
      <c r="U21" s="27"/>
      <c r="V21" s="27"/>
      <c r="W21" s="27">
        <f t="shared" si="1"/>
        <v>69</v>
      </c>
      <c r="X21" s="21">
        <f t="shared" si="2"/>
        <v>123786</v>
      </c>
      <c r="Y21" s="20">
        <f t="shared" ca="1" si="3"/>
        <v>71.502053795870808</v>
      </c>
      <c r="Z21" s="20">
        <f t="shared" ca="1" si="4"/>
        <v>140.50205379587081</v>
      </c>
      <c r="AA21" s="49">
        <f t="shared" ca="1" si="5"/>
        <v>14</v>
      </c>
      <c r="AB21" s="51" t="str">
        <f t="shared" ca="1" si="6"/>
        <v>OK</v>
      </c>
    </row>
    <row r="22" spans="1:28" ht="20.25" thickTop="1" thickBot="1" x14ac:dyDescent="0.45">
      <c r="A22" s="22" t="s">
        <v>327</v>
      </c>
      <c r="B22" s="22" t="s">
        <v>261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>
        <f t="shared" si="0"/>
        <v>0</v>
      </c>
      <c r="T22" s="27"/>
      <c r="U22" s="27"/>
      <c r="V22" s="27"/>
      <c r="W22" s="27">
        <f t="shared" si="1"/>
        <v>69</v>
      </c>
      <c r="X22" s="21">
        <f t="shared" si="2"/>
        <v>123786</v>
      </c>
      <c r="Y22" s="20">
        <f t="shared" ca="1" si="3"/>
        <v>70.672316379739442</v>
      </c>
      <c r="Z22" s="20">
        <f t="shared" ca="1" si="4"/>
        <v>139.67231637973944</v>
      </c>
      <c r="AA22" s="49">
        <f t="shared" ca="1" si="5"/>
        <v>16</v>
      </c>
      <c r="AB22" s="51" t="str">
        <f t="shared" ca="1" si="6"/>
        <v>DNF</v>
      </c>
    </row>
    <row r="23" spans="1:28" ht="20.25" thickTop="1" thickBot="1" x14ac:dyDescent="0.45">
      <c r="A23" s="22" t="s">
        <v>328</v>
      </c>
      <c r="B23" s="22" t="s">
        <v>342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>
        <f t="shared" si="0"/>
        <v>0</v>
      </c>
      <c r="T23" s="27"/>
      <c r="U23" s="27"/>
      <c r="V23" s="27"/>
      <c r="W23" s="27">
        <f t="shared" si="1"/>
        <v>69</v>
      </c>
      <c r="X23" s="21">
        <f t="shared" si="2"/>
        <v>123786</v>
      </c>
      <c r="Y23" s="20">
        <f t="shared" ca="1" si="3"/>
        <v>73.00164114693753</v>
      </c>
      <c r="Z23" s="20">
        <f t="shared" ca="1" si="4"/>
        <v>142.00164114693752</v>
      </c>
      <c r="AA23" s="49">
        <f t="shared" ca="1" si="5"/>
        <v>9</v>
      </c>
      <c r="AB23" s="51" t="str">
        <f t="shared" ca="1" si="6"/>
        <v>OK</v>
      </c>
    </row>
    <row r="24" spans="1:28" ht="20.25" thickTop="1" thickBot="1" x14ac:dyDescent="0.45">
      <c r="A24" s="22" t="s">
        <v>329</v>
      </c>
      <c r="B24" s="22" t="s">
        <v>343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>
        <f t="shared" ref="S24:S29" si="7">SUM(C24:R24)</f>
        <v>0</v>
      </c>
      <c r="T24" s="27"/>
      <c r="U24" s="27"/>
      <c r="V24" s="27"/>
      <c r="W24" s="27">
        <f t="shared" si="1"/>
        <v>69</v>
      </c>
      <c r="X24" s="21">
        <f t="shared" si="2"/>
        <v>123786</v>
      </c>
      <c r="Y24" s="20">
        <f t="shared" ca="1" si="3"/>
        <v>73.013035705073165</v>
      </c>
      <c r="Z24" s="20">
        <f t="shared" ca="1" si="4"/>
        <v>142.01303570507315</v>
      </c>
      <c r="AA24" s="49">
        <f t="shared" ref="AA24:AA29" ca="1" si="8">RANK(Z24,$Z$4:$Z$29,0)</f>
        <v>11</v>
      </c>
      <c r="AB24" s="51" t="str">
        <f t="shared" ca="1" si="6"/>
        <v>OK</v>
      </c>
    </row>
    <row r="25" spans="1:28" ht="20.25" thickTop="1" thickBot="1" x14ac:dyDescent="0.45">
      <c r="A25" s="22" t="s">
        <v>330</v>
      </c>
      <c r="B25" s="22" t="s">
        <v>341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>
        <f t="shared" si="7"/>
        <v>0</v>
      </c>
      <c r="T25" s="27"/>
      <c r="U25" s="27"/>
      <c r="V25" s="27"/>
      <c r="W25" s="27">
        <f>T25+U25+V25+69</f>
        <v>69</v>
      </c>
      <c r="X25" s="21">
        <f t="shared" si="2"/>
        <v>123786</v>
      </c>
      <c r="Y25" s="20">
        <f t="shared" ca="1" si="3"/>
        <v>69.557865697007713</v>
      </c>
      <c r="Z25" s="20">
        <f t="shared" ca="1" si="4"/>
        <v>138.55786569700771</v>
      </c>
      <c r="AA25" s="49">
        <f t="shared" ca="1" si="8"/>
        <v>21</v>
      </c>
      <c r="AB25" s="51" t="str">
        <f t="shared" ca="1" si="6"/>
        <v>OK</v>
      </c>
    </row>
    <row r="26" spans="1:28" ht="20.25" thickTop="1" thickBot="1" x14ac:dyDescent="0.45">
      <c r="A26" s="22" t="s">
        <v>331</v>
      </c>
      <c r="B26" s="22" t="s">
        <v>344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>
        <f t="shared" si="7"/>
        <v>0</v>
      </c>
      <c r="T26" s="27"/>
      <c r="U26" s="27"/>
      <c r="V26" s="27"/>
      <c r="W26" s="27">
        <f t="shared" si="1"/>
        <v>69</v>
      </c>
      <c r="X26" s="21">
        <f t="shared" si="2"/>
        <v>123786</v>
      </c>
      <c r="Y26" s="20">
        <f ca="1">W26+RAND()*6</f>
        <v>73.830346835558686</v>
      </c>
      <c r="Z26" s="20">
        <f t="shared" ca="1" si="4"/>
        <v>142.83034683555869</v>
      </c>
      <c r="AA26" s="49">
        <f t="shared" ca="1" si="8"/>
        <v>7</v>
      </c>
      <c r="AB26" s="51" t="str">
        <f t="shared" ca="1" si="6"/>
        <v>OK</v>
      </c>
    </row>
    <row r="27" spans="1:28" ht="20.25" thickTop="1" thickBot="1" x14ac:dyDescent="0.45">
      <c r="A27" s="22" t="s">
        <v>332</v>
      </c>
      <c r="B27" s="22" t="s">
        <v>344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>
        <f t="shared" si="7"/>
        <v>0</v>
      </c>
      <c r="T27" s="27"/>
      <c r="U27" s="27"/>
      <c r="V27" s="27"/>
      <c r="W27" s="27">
        <f t="shared" si="1"/>
        <v>69</v>
      </c>
      <c r="X27" s="21">
        <f t="shared" si="2"/>
        <v>123786</v>
      </c>
      <c r="Y27" s="20">
        <f t="shared" ca="1" si="3"/>
        <v>72.165322099605902</v>
      </c>
      <c r="Z27" s="20">
        <f t="shared" ca="1" si="4"/>
        <v>141.1653220996059</v>
      </c>
      <c r="AA27" s="49">
        <f t="shared" ca="1" si="8"/>
        <v>16</v>
      </c>
      <c r="AB27" s="51" t="str">
        <f t="shared" ca="1" si="6"/>
        <v>OK</v>
      </c>
    </row>
    <row r="28" spans="1:28" ht="20.25" thickTop="1" thickBot="1" x14ac:dyDescent="0.45">
      <c r="A28" s="22" t="s">
        <v>333</v>
      </c>
      <c r="B28" s="22" t="s">
        <v>343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>
        <f t="shared" si="7"/>
        <v>0</v>
      </c>
      <c r="T28" s="27"/>
      <c r="U28" s="27"/>
      <c r="V28" s="27"/>
      <c r="W28" s="27">
        <f t="shared" si="1"/>
        <v>69</v>
      </c>
      <c r="X28" s="21">
        <f t="shared" si="2"/>
        <v>123786</v>
      </c>
      <c r="Y28" s="20">
        <f t="shared" ca="1" si="3"/>
        <v>74.475062704874631</v>
      </c>
      <c r="Z28" s="20">
        <f t="shared" ca="1" si="4"/>
        <v>143.47506270487463</v>
      </c>
      <c r="AA28" s="49">
        <f t="shared" ca="1" si="8"/>
        <v>2</v>
      </c>
      <c r="AB28" s="51" t="str">
        <f t="shared" ca="1" si="6"/>
        <v>OK</v>
      </c>
    </row>
    <row r="29" spans="1:28" ht="19.5" thickTop="1" x14ac:dyDescent="0.4">
      <c r="A29" s="22" t="s">
        <v>334</v>
      </c>
      <c r="B29" s="22" t="s">
        <v>345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>
        <f t="shared" si="7"/>
        <v>0</v>
      </c>
      <c r="T29" s="27"/>
      <c r="U29" s="27"/>
      <c r="V29" s="27"/>
      <c r="W29" s="27">
        <f t="shared" si="1"/>
        <v>69</v>
      </c>
      <c r="X29" s="21">
        <f t="shared" si="2"/>
        <v>123786</v>
      </c>
      <c r="Y29" s="20">
        <f t="shared" ca="1" si="3"/>
        <v>69.411861613476347</v>
      </c>
      <c r="Z29" s="20">
        <f t="shared" ca="1" si="4"/>
        <v>138.41186161347633</v>
      </c>
      <c r="AA29" s="49">
        <f t="shared" ca="1" si="8"/>
        <v>24</v>
      </c>
      <c r="AB29" s="51" t="str">
        <f t="shared" ca="1" si="6"/>
        <v>OK</v>
      </c>
    </row>
    <row r="30" spans="1:28" x14ac:dyDescent="0.25">
      <c r="W30" s="63">
        <f>SUM(W4:W29)</f>
        <v>1794</v>
      </c>
    </row>
    <row r="34" spans="1:2" x14ac:dyDescent="0.25">
      <c r="A34" t="s">
        <v>288</v>
      </c>
      <c r="B34" t="s">
        <v>353</v>
      </c>
    </row>
    <row r="35" spans="1:2" x14ac:dyDescent="0.25">
      <c r="A35" s="57" t="s">
        <v>261</v>
      </c>
      <c r="B35" s="57">
        <f>SUMIF($B$4:$B$29,A35,$S$4:$S$29)</f>
        <v>0</v>
      </c>
    </row>
    <row r="36" spans="1:2" x14ac:dyDescent="0.25">
      <c r="A36" s="57" t="s">
        <v>336</v>
      </c>
      <c r="B36" s="57">
        <f t="shared" ref="B36:B47" si="9">SUMIF($B$4:$B$29,A36,$S$4:$S$29)</f>
        <v>0</v>
      </c>
    </row>
    <row r="37" spans="1:2" x14ac:dyDescent="0.25">
      <c r="A37" s="57" t="s">
        <v>337</v>
      </c>
      <c r="B37" s="57">
        <f t="shared" si="9"/>
        <v>0</v>
      </c>
    </row>
    <row r="38" spans="1:2" x14ac:dyDescent="0.25">
      <c r="A38" s="57" t="s">
        <v>335</v>
      </c>
      <c r="B38" s="57">
        <f>SUMIF($B$4:$B$29,A38,$S$4:$S$29)</f>
        <v>0</v>
      </c>
    </row>
    <row r="39" spans="1:2" x14ac:dyDescent="0.25">
      <c r="A39" s="57" t="s">
        <v>267</v>
      </c>
      <c r="B39" s="57">
        <f t="shared" si="9"/>
        <v>0</v>
      </c>
    </row>
    <row r="40" spans="1:2" x14ac:dyDescent="0.25">
      <c r="A40" s="57" t="s">
        <v>338</v>
      </c>
      <c r="B40" s="57">
        <f t="shared" si="9"/>
        <v>0</v>
      </c>
    </row>
    <row r="41" spans="1:2" x14ac:dyDescent="0.25">
      <c r="A41" s="57" t="s">
        <v>339</v>
      </c>
      <c r="B41" s="57">
        <f t="shared" si="9"/>
        <v>0</v>
      </c>
    </row>
    <row r="42" spans="1:2" x14ac:dyDescent="0.25">
      <c r="A42" s="57" t="s">
        <v>340</v>
      </c>
      <c r="B42" s="57">
        <f>SUMIF($B$4:$B$29,A42,$S$4:$S$29)</f>
        <v>0</v>
      </c>
    </row>
    <row r="43" spans="1:2" x14ac:dyDescent="0.25">
      <c r="A43" s="57" t="s">
        <v>341</v>
      </c>
      <c r="B43" s="57">
        <f t="shared" si="9"/>
        <v>0</v>
      </c>
    </row>
    <row r="44" spans="1:2" x14ac:dyDescent="0.25">
      <c r="A44" s="57" t="s">
        <v>343</v>
      </c>
      <c r="B44" s="57">
        <f t="shared" si="9"/>
        <v>0</v>
      </c>
    </row>
    <row r="45" spans="1:2" x14ac:dyDescent="0.25">
      <c r="A45" s="57" t="s">
        <v>344</v>
      </c>
      <c r="B45" s="57">
        <f t="shared" si="9"/>
        <v>0</v>
      </c>
    </row>
    <row r="46" spans="1:2" x14ac:dyDescent="0.25">
      <c r="A46" s="57" t="s">
        <v>342</v>
      </c>
      <c r="B46" s="57">
        <f t="shared" si="9"/>
        <v>0</v>
      </c>
    </row>
    <row r="47" spans="1:2" x14ac:dyDescent="0.25">
      <c r="A47" s="57" t="s">
        <v>345</v>
      </c>
      <c r="B47" s="57">
        <f t="shared" si="9"/>
        <v>0</v>
      </c>
    </row>
  </sheetData>
  <mergeCells count="1">
    <mergeCell ref="AF5:AG5"/>
  </mergeCells>
  <phoneticPr fontId="11" type="noConversion"/>
  <conditionalFormatting sqref="C4:S29">
    <cfRule type="containsText" dxfId="5" priority="1" operator="containsText" text="DNF">
      <formula>NOT(ISERROR(SEARCH("DNF",C4)))</formula>
    </cfRule>
    <cfRule type="cellIs" dxfId="4" priority="2" operator="equal">
      <formula>9</formula>
    </cfRule>
    <cfRule type="containsText" dxfId="3" priority="3" operator="containsText" text="DNF">
      <formula>NOT(ISERROR(SEARCH("DNF",C4)))</formula>
    </cfRule>
  </conditionalFormatting>
  <conditionalFormatting sqref="AA3:AA29">
    <cfRule type="cellIs" dxfId="2" priority="4" operator="lessThan">
      <formula>7</formula>
    </cfRule>
  </conditionalFormatting>
  <conditionalFormatting sqref="AA4:AA29">
    <cfRule type="cellIs" dxfId="1" priority="6" operator="equal">
      <formula>1</formula>
    </cfRule>
  </conditionalFormatting>
  <conditionalFormatting sqref="AB4:AB29">
    <cfRule type="containsText" dxfId="0" priority="5" operator="containsText" text="DNF">
      <formula>NOT(ISERROR(SEARCH("DNF",AB4)))</formula>
    </cfRule>
  </conditionalFormatting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oglio3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-9</v>
      </c>
      <c r="P4">
        <f t="shared" ref="P4:P23" ca="1" si="3">N4+O4</f>
        <v>71</v>
      </c>
      <c r="Q4">
        <f t="shared" ref="Q4:Q23" ca="1" si="4">RANK(P4,$P$4:$P$23,0)</f>
        <v>13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18</v>
      </c>
      <c r="M5">
        <f t="shared" ca="1" si="1"/>
        <v>18</v>
      </c>
      <c r="N5">
        <v>80</v>
      </c>
      <c r="O5">
        <f t="shared" ca="1" si="2"/>
        <v>12</v>
      </c>
      <c r="P5">
        <f t="shared" ca="1" si="3"/>
        <v>92</v>
      </c>
      <c r="Q5">
        <f t="shared" ca="1" si="4"/>
        <v>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-13</v>
      </c>
      <c r="P6">
        <f t="shared" ca="1" si="3"/>
        <v>67</v>
      </c>
      <c r="Q6">
        <f t="shared" ca="1" si="4"/>
        <v>17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7</v>
      </c>
      <c r="P7">
        <f t="shared" ca="1" si="3"/>
        <v>87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-2</v>
      </c>
      <c r="P8" s="2">
        <f t="shared" ca="1" si="3"/>
        <v>78</v>
      </c>
      <c r="Q8">
        <f t="shared" ca="1" si="4"/>
        <v>11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-12</v>
      </c>
      <c r="P9">
        <f t="shared" ca="1" si="3"/>
        <v>68</v>
      </c>
      <c r="Q9">
        <f t="shared" ca="1" si="4"/>
        <v>16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-3</v>
      </c>
      <c r="P10">
        <f t="shared" ca="1" si="3"/>
        <v>77</v>
      </c>
      <c r="Q10">
        <f t="shared" ca="1" si="4"/>
        <v>12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-9</v>
      </c>
      <c r="P11">
        <f t="shared" ca="1" si="3"/>
        <v>71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</v>
      </c>
      <c r="M12">
        <f t="shared" ca="1" si="1"/>
        <v>2</v>
      </c>
      <c r="N12">
        <v>80</v>
      </c>
      <c r="O12">
        <f t="shared" ca="1" si="2"/>
        <v>1</v>
      </c>
      <c r="P12">
        <f t="shared" ca="1" si="3"/>
        <v>81</v>
      </c>
      <c r="Q12">
        <f t="shared" ca="1" si="4"/>
        <v>9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-9</v>
      </c>
      <c r="P13">
        <f t="shared" ca="1" si="3"/>
        <v>71</v>
      </c>
      <c r="Q13">
        <f t="shared" ca="1" si="4"/>
        <v>13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15</v>
      </c>
      <c r="M14">
        <f t="shared" ca="1" si="1"/>
        <v>15</v>
      </c>
      <c r="N14">
        <v>80</v>
      </c>
      <c r="O14">
        <f t="shared" ca="1" si="2"/>
        <v>10</v>
      </c>
      <c r="P14">
        <f t="shared" ca="1" si="3"/>
        <v>90</v>
      </c>
      <c r="Q14">
        <f t="shared" ca="1" si="4"/>
        <v>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8</v>
      </c>
      <c r="M15">
        <f t="shared" ca="1" si="1"/>
        <v>8</v>
      </c>
      <c r="N15">
        <v>80</v>
      </c>
      <c r="O15">
        <f t="shared" ca="1" si="2"/>
        <v>7</v>
      </c>
      <c r="P15">
        <f t="shared" ca="1" si="3"/>
        <v>87</v>
      </c>
      <c r="Q15">
        <f t="shared" ca="1" si="4"/>
        <v>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-13</v>
      </c>
      <c r="P16">
        <f t="shared" ca="1" si="3"/>
        <v>67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-15</v>
      </c>
      <c r="P17">
        <f t="shared" ca="1" si="3"/>
        <v>65</v>
      </c>
      <c r="Q17">
        <f t="shared" ca="1" si="4"/>
        <v>19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4</v>
      </c>
      <c r="M18">
        <f t="shared" ca="1" si="1"/>
        <v>4</v>
      </c>
      <c r="N18">
        <v>80</v>
      </c>
      <c r="O18">
        <f t="shared" ca="1" si="2"/>
        <v>2</v>
      </c>
      <c r="P18">
        <f t="shared" ca="1" si="3"/>
        <v>82</v>
      </c>
      <c r="Q18">
        <f t="shared" ca="1" si="4"/>
        <v>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-15</v>
      </c>
      <c r="P19">
        <f t="shared" ca="1" si="3"/>
        <v>65</v>
      </c>
      <c r="Q19">
        <f t="shared" ca="1" si="4"/>
        <v>19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10</v>
      </c>
      <c r="M20">
        <f t="shared" ca="1" si="1"/>
        <v>10</v>
      </c>
      <c r="N20">
        <v>80</v>
      </c>
      <c r="O20">
        <f t="shared" ca="1" si="2"/>
        <v>8</v>
      </c>
      <c r="P20">
        <f t="shared" ca="1" si="3"/>
        <v>88</v>
      </c>
      <c r="Q20">
        <f t="shared" ca="1" si="4"/>
        <v>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15</v>
      </c>
      <c r="M21">
        <f t="shared" ca="1" si="1"/>
        <v>15</v>
      </c>
      <c r="N21">
        <v>80</v>
      </c>
      <c r="O21">
        <f t="shared" ca="1" si="2"/>
        <v>10</v>
      </c>
      <c r="P21">
        <f t="shared" ca="1" si="3"/>
        <v>90</v>
      </c>
      <c r="Q21">
        <f t="shared" ca="1" si="4"/>
        <v>3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25</v>
      </c>
      <c r="M22">
        <f t="shared" ca="1" si="1"/>
        <v>25</v>
      </c>
      <c r="N22">
        <v>80</v>
      </c>
      <c r="O22">
        <f t="shared" ca="1" si="2"/>
        <v>15</v>
      </c>
      <c r="P22">
        <f t="shared" ca="1" si="3"/>
        <v>95</v>
      </c>
      <c r="Q22">
        <f t="shared" ca="1" si="4"/>
        <v>1</v>
      </c>
    </row>
    <row r="23" spans="1:20" x14ac:dyDescent="0.25">
      <c r="A23" t="s">
        <v>54</v>
      </c>
      <c r="B23" t="s">
        <v>37</v>
      </c>
      <c r="C23">
        <f t="shared" ca="1" si="0"/>
        <v>2</v>
      </c>
      <c r="M23">
        <f t="shared" ca="1" si="1"/>
        <v>2</v>
      </c>
      <c r="N23">
        <v>80</v>
      </c>
      <c r="O23">
        <f t="shared" ca="1" si="2"/>
        <v>1</v>
      </c>
      <c r="P23">
        <f t="shared" ca="1" si="3"/>
        <v>81</v>
      </c>
      <c r="Q23">
        <f t="shared" ca="1" si="4"/>
        <v>9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oglio3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4</v>
      </c>
      <c r="M4">
        <f t="shared" ref="M4:M23" ca="1" si="1">SUM(C4:L4)</f>
        <v>4</v>
      </c>
      <c r="N4">
        <v>80</v>
      </c>
      <c r="O4">
        <f t="shared" ref="O4:O23" ca="1" si="2">RANDBETWEEN(-15,15)</f>
        <v>-1</v>
      </c>
      <c r="P4">
        <f t="shared" ref="P4:P23" ca="1" si="3">N4+O4</f>
        <v>79</v>
      </c>
      <c r="Q4">
        <f t="shared" ref="Q4:Q23" ca="1" si="4">RANK(P4,$P$4:$P$23,0)</f>
        <v>8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-12</v>
      </c>
      <c r="P5">
        <f t="shared" ca="1" si="3"/>
        <v>68</v>
      </c>
      <c r="Q5">
        <f t="shared" ca="1" si="4"/>
        <v>15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-4</v>
      </c>
      <c r="P6">
        <f t="shared" ca="1" si="3"/>
        <v>76</v>
      </c>
      <c r="Q6">
        <f t="shared" ca="1" si="4"/>
        <v>11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-10</v>
      </c>
      <c r="P7">
        <f t="shared" ca="1" si="3"/>
        <v>70</v>
      </c>
      <c r="Q7">
        <f t="shared" ca="1" si="4"/>
        <v>13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-11</v>
      </c>
      <c r="P8" s="2">
        <f t="shared" ca="1" si="3"/>
        <v>69</v>
      </c>
      <c r="Q8">
        <f t="shared" ca="1" si="4"/>
        <v>14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-13</v>
      </c>
      <c r="P9">
        <f t="shared" ca="1" si="3"/>
        <v>67</v>
      </c>
      <c r="Q9">
        <f t="shared" ca="1" si="4"/>
        <v>17</v>
      </c>
    </row>
    <row r="10" spans="1:20" x14ac:dyDescent="0.25">
      <c r="A10" t="s">
        <v>40</v>
      </c>
      <c r="B10" t="s">
        <v>28</v>
      </c>
      <c r="C10">
        <f t="shared" ca="1" si="0"/>
        <v>18</v>
      </c>
      <c r="M10">
        <f t="shared" ca="1" si="1"/>
        <v>18</v>
      </c>
      <c r="N10">
        <v>80</v>
      </c>
      <c r="O10">
        <f t="shared" ca="1" si="2"/>
        <v>11</v>
      </c>
      <c r="P10">
        <f t="shared" ca="1" si="3"/>
        <v>91</v>
      </c>
      <c r="Q10">
        <f t="shared" ca="1" si="4"/>
        <v>2</v>
      </c>
    </row>
    <row r="11" spans="1:20" x14ac:dyDescent="0.25">
      <c r="A11" t="s">
        <v>41</v>
      </c>
      <c r="B11" t="s">
        <v>31</v>
      </c>
      <c r="C11">
        <f t="shared" ca="1" si="0"/>
        <v>8</v>
      </c>
      <c r="M11">
        <f t="shared" ca="1" si="1"/>
        <v>8</v>
      </c>
      <c r="N11">
        <v>80</v>
      </c>
      <c r="O11">
        <f t="shared" ca="1" si="2"/>
        <v>6</v>
      </c>
      <c r="P11">
        <f t="shared" ca="1" si="3"/>
        <v>86</v>
      </c>
      <c r="Q11">
        <f t="shared" ca="1" si="4"/>
        <v>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-15</v>
      </c>
      <c r="P12">
        <f t="shared" ca="1" si="3"/>
        <v>65</v>
      </c>
      <c r="Q12">
        <f t="shared" ca="1" si="4"/>
        <v>20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-5</v>
      </c>
      <c r="P13">
        <f t="shared" ca="1" si="3"/>
        <v>75</v>
      </c>
      <c r="Q13">
        <f t="shared" ca="1" si="4"/>
        <v>12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12</v>
      </c>
      <c r="M15">
        <f t="shared" ca="1" si="1"/>
        <v>12</v>
      </c>
      <c r="N15">
        <v>80</v>
      </c>
      <c r="O15">
        <f t="shared" ca="1" si="2"/>
        <v>9</v>
      </c>
      <c r="P15">
        <f t="shared" ca="1" si="3"/>
        <v>89</v>
      </c>
      <c r="Q15">
        <f t="shared" ca="1" si="4"/>
        <v>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-13</v>
      </c>
      <c r="P16">
        <f t="shared" ca="1" si="3"/>
        <v>67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-3</v>
      </c>
      <c r="P17">
        <f t="shared" ca="1" si="3"/>
        <v>77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10</v>
      </c>
      <c r="M18">
        <f t="shared" ca="1" si="1"/>
        <v>10</v>
      </c>
      <c r="N18">
        <v>80</v>
      </c>
      <c r="O18">
        <f t="shared" ca="1" si="2"/>
        <v>8</v>
      </c>
      <c r="P18">
        <f t="shared" ca="1" si="3"/>
        <v>88</v>
      </c>
      <c r="Q18">
        <f t="shared" ca="1" si="4"/>
        <v>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</v>
      </c>
      <c r="M19">
        <f t="shared" ca="1" si="1"/>
        <v>2</v>
      </c>
      <c r="N19">
        <v>80</v>
      </c>
      <c r="O19">
        <f t="shared" ca="1" si="2"/>
        <v>-3</v>
      </c>
      <c r="P19">
        <f t="shared" ca="1" si="3"/>
        <v>77</v>
      </c>
      <c r="Q19">
        <f t="shared" ca="1" si="4"/>
        <v>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-13</v>
      </c>
      <c r="P20">
        <f t="shared" ca="1" si="3"/>
        <v>67</v>
      </c>
      <c r="Q20">
        <f t="shared" ca="1" si="4"/>
        <v>17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-12</v>
      </c>
      <c r="P21">
        <f t="shared" ca="1" si="3"/>
        <v>68</v>
      </c>
      <c r="Q21">
        <f t="shared" ca="1" si="4"/>
        <v>15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6</v>
      </c>
      <c r="M22">
        <f t="shared" ca="1" si="1"/>
        <v>6</v>
      </c>
      <c r="N22">
        <v>80</v>
      </c>
      <c r="O22">
        <f t="shared" ca="1" si="2"/>
        <v>3</v>
      </c>
      <c r="P22">
        <f t="shared" ca="1" si="3"/>
        <v>83</v>
      </c>
      <c r="Q22">
        <f t="shared" ca="1" si="4"/>
        <v>7</v>
      </c>
    </row>
    <row r="23" spans="1:20" x14ac:dyDescent="0.25">
      <c r="A23" t="s">
        <v>54</v>
      </c>
      <c r="B23" t="s">
        <v>37</v>
      </c>
      <c r="C23">
        <f t="shared" ca="1" si="0"/>
        <v>15</v>
      </c>
      <c r="M23">
        <f t="shared" ca="1" si="1"/>
        <v>15</v>
      </c>
      <c r="N23">
        <v>80</v>
      </c>
      <c r="O23">
        <f t="shared" ca="1" si="2"/>
        <v>10</v>
      </c>
      <c r="P23">
        <f t="shared" ca="1" si="3"/>
        <v>90</v>
      </c>
      <c r="Q23">
        <f t="shared" ca="1" si="4"/>
        <v>3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oglio3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89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18</v>
      </c>
      <c r="M4">
        <f t="shared" ref="M4:M23" ca="1" si="1">SUM(C4:L4)</f>
        <v>18</v>
      </c>
      <c r="N4">
        <v>80</v>
      </c>
      <c r="O4">
        <f t="shared" ref="O4:O23" ca="1" si="2">RANDBETWEEN(-15,15)</f>
        <v>13</v>
      </c>
      <c r="P4">
        <f t="shared" ref="P4:P23" ca="1" si="3">N4+O4</f>
        <v>93</v>
      </c>
      <c r="Q4">
        <f t="shared" ref="Q4:Q23" ca="1" si="4">RANK(P4,$P$4:$P$23,0)</f>
        <v>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-7</v>
      </c>
      <c r="P5">
        <f t="shared" ca="1" si="3"/>
        <v>73</v>
      </c>
      <c r="Q5">
        <f t="shared" ca="1" si="4"/>
        <v>14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13</v>
      </c>
      <c r="P6">
        <f t="shared" ca="1" si="3"/>
        <v>93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8</v>
      </c>
      <c r="P7">
        <f t="shared" ca="1" si="3"/>
        <v>88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8</v>
      </c>
      <c r="M8">
        <f t="shared" ca="1" si="1"/>
        <v>8</v>
      </c>
      <c r="N8">
        <v>80</v>
      </c>
      <c r="O8" s="2">
        <f t="shared" ca="1" si="2"/>
        <v>8</v>
      </c>
      <c r="P8" s="2">
        <f t="shared" ca="1" si="3"/>
        <v>88</v>
      </c>
      <c r="Q8">
        <f t="shared" ca="1" si="4"/>
        <v>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11</v>
      </c>
      <c r="P9">
        <f t="shared" ca="1" si="3"/>
        <v>91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-9</v>
      </c>
      <c r="P10">
        <f t="shared" ca="1" si="3"/>
        <v>71</v>
      </c>
      <c r="Q10">
        <f t="shared" ca="1" si="4"/>
        <v>15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-10</v>
      </c>
      <c r="P11">
        <f t="shared" ca="1" si="3"/>
        <v>70</v>
      </c>
      <c r="Q11">
        <f t="shared" ca="1" si="4"/>
        <v>16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18</v>
      </c>
      <c r="M12">
        <f t="shared" ca="1" si="1"/>
        <v>18</v>
      </c>
      <c r="N12">
        <v>80</v>
      </c>
      <c r="O12">
        <f t="shared" ca="1" si="2"/>
        <v>13</v>
      </c>
      <c r="P12">
        <f t="shared" ca="1" si="3"/>
        <v>93</v>
      </c>
      <c r="Q12">
        <f t="shared" ca="1" si="4"/>
        <v>2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-12</v>
      </c>
      <c r="P13">
        <f t="shared" ca="1" si="3"/>
        <v>68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-11</v>
      </c>
      <c r="P14">
        <f t="shared" ca="1" si="3"/>
        <v>69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</v>
      </c>
      <c r="P15">
        <f t="shared" ca="1" si="3"/>
        <v>79</v>
      </c>
      <c r="Q15">
        <f t="shared" ca="1" si="4"/>
        <v>13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</v>
      </c>
      <c r="M16">
        <f t="shared" ca="1" si="1"/>
        <v>1</v>
      </c>
      <c r="N16">
        <v>80</v>
      </c>
      <c r="O16">
        <f t="shared" ca="1" si="2"/>
        <v>5</v>
      </c>
      <c r="P16">
        <f t="shared" ca="1" si="3"/>
        <v>85</v>
      </c>
      <c r="Q16">
        <f t="shared" ca="1" si="4"/>
        <v>10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1</v>
      </c>
      <c r="P17">
        <f t="shared" ca="1" si="3"/>
        <v>81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</v>
      </c>
      <c r="M18">
        <f t="shared" ca="1" si="1"/>
        <v>2</v>
      </c>
      <c r="N18">
        <v>80</v>
      </c>
      <c r="O18">
        <f t="shared" ca="1" si="2"/>
        <v>6</v>
      </c>
      <c r="P18">
        <f t="shared" ca="1" si="3"/>
        <v>86</v>
      </c>
      <c r="Q18">
        <f t="shared" ca="1" si="4"/>
        <v>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14</v>
      </c>
      <c r="P19">
        <f t="shared" ca="1" si="3"/>
        <v>94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3</v>
      </c>
      <c r="P20">
        <f t="shared" ca="1" si="3"/>
        <v>83</v>
      </c>
      <c r="Q20">
        <f t="shared" ca="1" si="4"/>
        <v>11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-12</v>
      </c>
      <c r="P21">
        <f t="shared" ca="1" si="3"/>
        <v>68</v>
      </c>
      <c r="Q21">
        <f t="shared" ca="1" si="4"/>
        <v>19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-10</v>
      </c>
      <c r="P22">
        <f t="shared" ca="1" si="3"/>
        <v>70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4</v>
      </c>
      <c r="M23">
        <f t="shared" ca="1" si="1"/>
        <v>4</v>
      </c>
      <c r="N23">
        <v>80</v>
      </c>
      <c r="O23">
        <f t="shared" ca="1" si="2"/>
        <v>7</v>
      </c>
      <c r="P23">
        <f t="shared" ca="1" si="3"/>
        <v>87</v>
      </c>
      <c r="Q23">
        <f t="shared" ca="1" si="4"/>
        <v>8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oglio3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-6</v>
      </c>
      <c r="P4">
        <f t="shared" ref="P4:P23" ca="1" si="3">N4+O4</f>
        <v>74</v>
      </c>
      <c r="Q4">
        <f t="shared" ref="Q4:Q23" ca="1" si="4">RANK(P4,$P$4:$P$23,0)</f>
        <v>12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-10</v>
      </c>
      <c r="P5">
        <f t="shared" ca="1" si="3"/>
        <v>70</v>
      </c>
      <c r="Q5">
        <f t="shared" ca="1" si="4"/>
        <v>16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4</v>
      </c>
      <c r="M6">
        <f t="shared" ca="1" si="1"/>
        <v>4</v>
      </c>
      <c r="N6">
        <v>80</v>
      </c>
      <c r="O6">
        <f t="shared" ca="1" si="2"/>
        <v>-3</v>
      </c>
      <c r="P6">
        <f t="shared" ca="1" si="3"/>
        <v>77</v>
      </c>
      <c r="Q6">
        <f t="shared" ca="1" si="4"/>
        <v>8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0</v>
      </c>
      <c r="P7">
        <f t="shared" ca="1" si="3"/>
        <v>80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-10</v>
      </c>
      <c r="P8" s="2">
        <f t="shared" ca="1" si="3"/>
        <v>70</v>
      </c>
      <c r="Q8">
        <f t="shared" ca="1" si="4"/>
        <v>16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</v>
      </c>
      <c r="M9">
        <f t="shared" ca="1" si="1"/>
        <v>1</v>
      </c>
      <c r="N9">
        <v>80</v>
      </c>
      <c r="O9">
        <f t="shared" ca="1" si="2"/>
        <v>-5</v>
      </c>
      <c r="P9">
        <f t="shared" ca="1" si="3"/>
        <v>75</v>
      </c>
      <c r="Q9">
        <f t="shared" ca="1" si="4"/>
        <v>10</v>
      </c>
    </row>
    <row r="10" spans="1:20" x14ac:dyDescent="0.25">
      <c r="A10" t="s">
        <v>40</v>
      </c>
      <c r="B10" t="s">
        <v>28</v>
      </c>
      <c r="C10">
        <f t="shared" ca="1" si="0"/>
        <v>6</v>
      </c>
      <c r="M10">
        <f t="shared" ca="1" si="1"/>
        <v>6</v>
      </c>
      <c r="N10">
        <v>80</v>
      </c>
      <c r="O10">
        <f t="shared" ca="1" si="2"/>
        <v>-2</v>
      </c>
      <c r="P10">
        <f t="shared" ca="1" si="3"/>
        <v>78</v>
      </c>
      <c r="Q10">
        <f t="shared" ca="1" si="4"/>
        <v>7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7</v>
      </c>
      <c r="P11">
        <f t="shared" ca="1" si="3"/>
        <v>87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-6</v>
      </c>
      <c r="P12">
        <f t="shared" ca="1" si="3"/>
        <v>74</v>
      </c>
      <c r="Q12">
        <f t="shared" ca="1" si="4"/>
        <v>12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2</v>
      </c>
      <c r="P13">
        <f t="shared" ca="1" si="3"/>
        <v>82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-9</v>
      </c>
      <c r="P15">
        <f t="shared" ca="1" si="3"/>
        <v>71</v>
      </c>
      <c r="Q15">
        <f t="shared" ca="1" si="4"/>
        <v>15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</v>
      </c>
      <c r="M16">
        <f t="shared" ca="1" si="1"/>
        <v>2</v>
      </c>
      <c r="N16">
        <v>80</v>
      </c>
      <c r="O16">
        <f t="shared" ca="1" si="2"/>
        <v>-4</v>
      </c>
      <c r="P16">
        <f t="shared" ca="1" si="3"/>
        <v>76</v>
      </c>
      <c r="Q16">
        <f t="shared" ca="1" si="4"/>
        <v>9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25</v>
      </c>
      <c r="M17">
        <f t="shared" ca="1" si="1"/>
        <v>25</v>
      </c>
      <c r="N17">
        <v>80</v>
      </c>
      <c r="O17">
        <f t="shared" ca="1" si="2"/>
        <v>11</v>
      </c>
      <c r="P17">
        <f t="shared" ca="1" si="3"/>
        <v>91</v>
      </c>
      <c r="Q17">
        <f t="shared" ca="1" si="4"/>
        <v>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18</v>
      </c>
      <c r="M18">
        <f t="shared" ca="1" si="1"/>
        <v>18</v>
      </c>
      <c r="N18">
        <v>80</v>
      </c>
      <c r="O18">
        <f t="shared" ca="1" si="2"/>
        <v>9</v>
      </c>
      <c r="P18">
        <f t="shared" ca="1" si="3"/>
        <v>89</v>
      </c>
      <c r="Q18">
        <f t="shared" ca="1" si="4"/>
        <v>2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-11</v>
      </c>
      <c r="P19">
        <f t="shared" ca="1" si="3"/>
        <v>69</v>
      </c>
      <c r="Q19">
        <f t="shared" ca="1" si="4"/>
        <v>19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-14</v>
      </c>
      <c r="P20">
        <f t="shared" ca="1" si="3"/>
        <v>66</v>
      </c>
      <c r="Q20">
        <f t="shared" ca="1" si="4"/>
        <v>20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-5</v>
      </c>
      <c r="P21">
        <f t="shared" ca="1" si="3"/>
        <v>75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12</v>
      </c>
      <c r="M22">
        <f t="shared" ca="1" si="1"/>
        <v>12</v>
      </c>
      <c r="N22">
        <v>80</v>
      </c>
      <c r="O22">
        <f t="shared" ca="1" si="2"/>
        <v>6</v>
      </c>
      <c r="P22">
        <f t="shared" ca="1" si="3"/>
        <v>86</v>
      </c>
      <c r="Q22">
        <f t="shared" ca="1" si="4"/>
        <v>4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-10</v>
      </c>
      <c r="P23">
        <f t="shared" ca="1" si="3"/>
        <v>70</v>
      </c>
      <c r="Q23">
        <f t="shared" ca="1" si="4"/>
        <v>16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oglio3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-6</v>
      </c>
      <c r="P4">
        <f t="shared" ref="P4:P23" ca="1" si="3">N4+O4</f>
        <v>74</v>
      </c>
      <c r="Q4">
        <f t="shared" ref="Q4:Q23" ca="1" si="4">RANK(P4,$P$4:$P$23,0)</f>
        <v>19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</v>
      </c>
      <c r="M5">
        <f t="shared" ca="1" si="1"/>
        <v>1</v>
      </c>
      <c r="N5">
        <v>80</v>
      </c>
      <c r="O5">
        <f t="shared" ca="1" si="2"/>
        <v>4</v>
      </c>
      <c r="P5">
        <f t="shared" ca="1" si="3"/>
        <v>84</v>
      </c>
      <c r="Q5">
        <f t="shared" ca="1" si="4"/>
        <v>10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-14</v>
      </c>
      <c r="P6">
        <f t="shared" ca="1" si="3"/>
        <v>66</v>
      </c>
      <c r="Q6">
        <f t="shared" ca="1" si="4"/>
        <v>20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-4</v>
      </c>
      <c r="P7">
        <f t="shared" ca="1" si="3"/>
        <v>76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12</v>
      </c>
      <c r="M8">
        <f t="shared" ca="1" si="1"/>
        <v>12</v>
      </c>
      <c r="N8">
        <v>80</v>
      </c>
      <c r="O8" s="2">
        <f t="shared" ca="1" si="2"/>
        <v>8</v>
      </c>
      <c r="P8" s="2">
        <f t="shared" ca="1" si="3"/>
        <v>88</v>
      </c>
      <c r="Q8">
        <f t="shared" ca="1" si="4"/>
        <v>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12</v>
      </c>
      <c r="M9">
        <f t="shared" ca="1" si="1"/>
        <v>12</v>
      </c>
      <c r="N9">
        <v>80</v>
      </c>
      <c r="O9">
        <f t="shared" ca="1" si="2"/>
        <v>8</v>
      </c>
      <c r="P9">
        <f t="shared" ca="1" si="3"/>
        <v>88</v>
      </c>
      <c r="Q9">
        <f t="shared" ca="1" si="4"/>
        <v>4</v>
      </c>
    </row>
    <row r="10" spans="1:20" x14ac:dyDescent="0.25">
      <c r="A10" t="s">
        <v>40</v>
      </c>
      <c r="B10" t="s">
        <v>28</v>
      </c>
      <c r="C10">
        <f t="shared" ca="1" si="0"/>
        <v>1</v>
      </c>
      <c r="M10">
        <f t="shared" ca="1" si="1"/>
        <v>1</v>
      </c>
      <c r="N10">
        <v>80</v>
      </c>
      <c r="O10">
        <f t="shared" ca="1" si="2"/>
        <v>4</v>
      </c>
      <c r="P10">
        <f t="shared" ca="1" si="3"/>
        <v>84</v>
      </c>
      <c r="Q10">
        <f t="shared" ca="1" si="4"/>
        <v>10</v>
      </c>
    </row>
    <row r="11" spans="1:20" x14ac:dyDescent="0.25">
      <c r="A11" t="s">
        <v>41</v>
      </c>
      <c r="B11" t="s">
        <v>31</v>
      </c>
      <c r="C11">
        <f t="shared" ca="1" si="0"/>
        <v>4</v>
      </c>
      <c r="M11">
        <f t="shared" ca="1" si="1"/>
        <v>4</v>
      </c>
      <c r="N11">
        <v>80</v>
      </c>
      <c r="O11">
        <f t="shared" ca="1" si="2"/>
        <v>5</v>
      </c>
      <c r="P11">
        <f t="shared" ca="1" si="3"/>
        <v>85</v>
      </c>
      <c r="Q11">
        <f t="shared" ca="1" si="4"/>
        <v>8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0</v>
      </c>
      <c r="P12">
        <f t="shared" ca="1" si="3"/>
        <v>80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-3</v>
      </c>
      <c r="P13">
        <f t="shared" ca="1" si="3"/>
        <v>77</v>
      </c>
      <c r="Q13">
        <f t="shared" ca="1" si="4"/>
        <v>15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15</v>
      </c>
      <c r="M14">
        <f t="shared" ca="1" si="1"/>
        <v>15</v>
      </c>
      <c r="N14">
        <v>80</v>
      </c>
      <c r="O14">
        <f t="shared" ca="1" si="2"/>
        <v>11</v>
      </c>
      <c r="P14">
        <f t="shared" ca="1" si="3"/>
        <v>91</v>
      </c>
      <c r="Q14">
        <f t="shared" ca="1" si="4"/>
        <v>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6</v>
      </c>
      <c r="M15">
        <f t="shared" ca="1" si="1"/>
        <v>6</v>
      </c>
      <c r="N15">
        <v>80</v>
      </c>
      <c r="O15">
        <f t="shared" ca="1" si="2"/>
        <v>6</v>
      </c>
      <c r="P15">
        <f t="shared" ca="1" si="3"/>
        <v>86</v>
      </c>
      <c r="Q15">
        <f t="shared" ca="1" si="4"/>
        <v>7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1</v>
      </c>
      <c r="P16">
        <f t="shared" ca="1" si="3"/>
        <v>81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4</v>
      </c>
      <c r="M17">
        <f t="shared" ca="1" si="1"/>
        <v>4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25</v>
      </c>
      <c r="M18">
        <f t="shared" ca="1" si="1"/>
        <v>25</v>
      </c>
      <c r="N18">
        <v>80</v>
      </c>
      <c r="O18">
        <f t="shared" ca="1" si="2"/>
        <v>14</v>
      </c>
      <c r="P18">
        <f t="shared" ca="1" si="3"/>
        <v>94</v>
      </c>
      <c r="Q18">
        <f t="shared" ca="1" si="4"/>
        <v>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18</v>
      </c>
      <c r="M19">
        <f t="shared" ca="1" si="1"/>
        <v>18</v>
      </c>
      <c r="N19">
        <v>80</v>
      </c>
      <c r="O19">
        <f t="shared" ca="1" si="2"/>
        <v>13</v>
      </c>
      <c r="P19">
        <f t="shared" ca="1" si="3"/>
        <v>93</v>
      </c>
      <c r="Q19">
        <f t="shared" ca="1" si="4"/>
        <v>2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-3</v>
      </c>
      <c r="P20">
        <f t="shared" ca="1" si="3"/>
        <v>77</v>
      </c>
      <c r="Q20">
        <f t="shared" ca="1" si="4"/>
        <v>15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8</v>
      </c>
      <c r="P21">
        <f t="shared" ca="1" si="3"/>
        <v>88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-2</v>
      </c>
      <c r="P22">
        <f t="shared" ca="1" si="3"/>
        <v>78</v>
      </c>
      <c r="Q22">
        <f t="shared" ca="1" si="4"/>
        <v>14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-4</v>
      </c>
      <c r="P23">
        <f t="shared" ca="1" si="3"/>
        <v>76</v>
      </c>
      <c r="Q23">
        <f t="shared" ca="1" si="4"/>
        <v>17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oglio4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-5</v>
      </c>
      <c r="P4">
        <f t="shared" ref="P4:P23" ca="1" si="3">N4+O4</f>
        <v>75</v>
      </c>
      <c r="Q4">
        <f t="shared" ref="Q4:Q23" ca="1" si="4">RANK(P4,$P$4:$P$23,0)</f>
        <v>12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-5</v>
      </c>
      <c r="P5">
        <f t="shared" ca="1" si="3"/>
        <v>75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12</v>
      </c>
      <c r="M6">
        <f t="shared" ca="1" si="1"/>
        <v>12</v>
      </c>
      <c r="N6">
        <v>80</v>
      </c>
      <c r="O6">
        <f t="shared" ca="1" si="2"/>
        <v>8</v>
      </c>
      <c r="P6">
        <f t="shared" ca="1" si="3"/>
        <v>88</v>
      </c>
      <c r="Q6">
        <f t="shared" ca="1" si="4"/>
        <v>4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-8</v>
      </c>
      <c r="P7">
        <f t="shared" ca="1" si="3"/>
        <v>72</v>
      </c>
      <c r="Q7">
        <f t="shared" ca="1" si="4"/>
        <v>16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4</v>
      </c>
      <c r="M8">
        <f t="shared" ca="1" si="1"/>
        <v>4</v>
      </c>
      <c r="N8">
        <v>80</v>
      </c>
      <c r="O8" s="2">
        <f t="shared" ca="1" si="2"/>
        <v>-2</v>
      </c>
      <c r="P8" s="2">
        <f t="shared" ca="1" si="3"/>
        <v>78</v>
      </c>
      <c r="Q8">
        <f t="shared" ca="1" si="4"/>
        <v>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4</v>
      </c>
      <c r="M9">
        <f t="shared" ca="1" si="1"/>
        <v>4</v>
      </c>
      <c r="N9">
        <v>80</v>
      </c>
      <c r="O9">
        <f t="shared" ca="1" si="2"/>
        <v>-2</v>
      </c>
      <c r="P9">
        <f t="shared" ca="1" si="3"/>
        <v>78</v>
      </c>
      <c r="Q9">
        <f t="shared" ca="1" si="4"/>
        <v>8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-7</v>
      </c>
      <c r="P10">
        <f t="shared" ca="1" si="3"/>
        <v>73</v>
      </c>
      <c r="Q10">
        <f t="shared" ca="1" si="4"/>
        <v>14</v>
      </c>
    </row>
    <row r="11" spans="1:20" x14ac:dyDescent="0.25">
      <c r="A11" t="s">
        <v>41</v>
      </c>
      <c r="B11" t="s">
        <v>31</v>
      </c>
      <c r="C11">
        <f t="shared" ca="1" si="0"/>
        <v>6</v>
      </c>
      <c r="M11">
        <f t="shared" ca="1" si="1"/>
        <v>6</v>
      </c>
      <c r="N11">
        <v>80</v>
      </c>
      <c r="O11">
        <f t="shared" ca="1" si="2"/>
        <v>1</v>
      </c>
      <c r="P11">
        <f t="shared" ca="1" si="3"/>
        <v>81</v>
      </c>
      <c r="Q11">
        <f t="shared" ca="1" si="4"/>
        <v>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-8</v>
      </c>
      <c r="P12">
        <f t="shared" ca="1" si="3"/>
        <v>72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-4</v>
      </c>
      <c r="P13">
        <f t="shared" ca="1" si="3"/>
        <v>76</v>
      </c>
      <c r="Q13">
        <f t="shared" ca="1" si="4"/>
        <v>11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-12</v>
      </c>
      <c r="P15">
        <f t="shared" ca="1" si="3"/>
        <v>68</v>
      </c>
      <c r="Q15">
        <f t="shared" ca="1" si="4"/>
        <v>19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10</v>
      </c>
      <c r="M16">
        <f t="shared" ca="1" si="1"/>
        <v>10</v>
      </c>
      <c r="N16">
        <v>80</v>
      </c>
      <c r="O16">
        <f t="shared" ca="1" si="2"/>
        <v>5</v>
      </c>
      <c r="P16">
        <f t="shared" ca="1" si="3"/>
        <v>85</v>
      </c>
      <c r="Q16">
        <f t="shared" ca="1" si="4"/>
        <v>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8</v>
      </c>
      <c r="M17">
        <f t="shared" ca="1" si="1"/>
        <v>8</v>
      </c>
      <c r="N17">
        <v>80</v>
      </c>
      <c r="O17">
        <f t="shared" ca="1" si="2"/>
        <v>4</v>
      </c>
      <c r="P17">
        <f t="shared" ca="1" si="3"/>
        <v>84</v>
      </c>
      <c r="Q17">
        <f t="shared" ca="1" si="4"/>
        <v>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25</v>
      </c>
      <c r="M18">
        <f t="shared" ca="1" si="1"/>
        <v>25</v>
      </c>
      <c r="N18">
        <v>80</v>
      </c>
      <c r="O18">
        <f t="shared" ca="1" si="2"/>
        <v>10</v>
      </c>
      <c r="P18">
        <f t="shared" ca="1" si="3"/>
        <v>90</v>
      </c>
      <c r="Q18">
        <f t="shared" ca="1" si="4"/>
        <v>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18</v>
      </c>
      <c r="M19">
        <f t="shared" ca="1" si="1"/>
        <v>18</v>
      </c>
      <c r="N19">
        <v>80</v>
      </c>
      <c r="O19">
        <f t="shared" ca="1" si="2"/>
        <v>9</v>
      </c>
      <c r="P19">
        <f t="shared" ca="1" si="3"/>
        <v>89</v>
      </c>
      <c r="Q19">
        <f t="shared" ca="1" si="4"/>
        <v>2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18</v>
      </c>
      <c r="M20">
        <f t="shared" ca="1" si="1"/>
        <v>18</v>
      </c>
      <c r="N20">
        <v>80</v>
      </c>
      <c r="O20">
        <f t="shared" ca="1" si="2"/>
        <v>9</v>
      </c>
      <c r="P20">
        <f t="shared" ca="1" si="3"/>
        <v>89</v>
      </c>
      <c r="Q20">
        <f t="shared" ca="1" si="4"/>
        <v>2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-10</v>
      </c>
      <c r="P21">
        <f t="shared" ca="1" si="3"/>
        <v>70</v>
      </c>
      <c r="Q21">
        <f t="shared" ca="1" si="4"/>
        <v>18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</v>
      </c>
      <c r="M22">
        <f t="shared" ca="1" si="1"/>
        <v>1</v>
      </c>
      <c r="N22">
        <v>80</v>
      </c>
      <c r="O22">
        <f t="shared" ca="1" si="2"/>
        <v>-3</v>
      </c>
      <c r="P22">
        <f t="shared" ca="1" si="3"/>
        <v>77</v>
      </c>
      <c r="Q22">
        <f t="shared" ca="1" si="4"/>
        <v>10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-15</v>
      </c>
      <c r="P23">
        <f t="shared" ca="1" si="3"/>
        <v>65</v>
      </c>
      <c r="Q23">
        <f t="shared" ca="1" si="4"/>
        <v>20</v>
      </c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oglio4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</v>
      </c>
      <c r="M4">
        <f t="shared" ref="M4:M23" ca="1" si="1">SUM(C4:L4)</f>
        <v>2</v>
      </c>
      <c r="N4">
        <v>80</v>
      </c>
      <c r="O4">
        <f t="shared" ref="O4:O23" ca="1" si="2">RANDBETWEEN(-15,15)</f>
        <v>4</v>
      </c>
      <c r="P4">
        <f t="shared" ref="P4:P23" ca="1" si="3">N4+O4</f>
        <v>84</v>
      </c>
      <c r="Q4">
        <f t="shared" ref="Q4:Q23" ca="1" si="4">RANK(P4,$P$4:$P$23,0)</f>
        <v>9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</v>
      </c>
      <c r="P5">
        <f t="shared" ca="1" si="3"/>
        <v>79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11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10</v>
      </c>
      <c r="M7">
        <f t="shared" ca="1" si="1"/>
        <v>10</v>
      </c>
      <c r="N7">
        <v>80</v>
      </c>
      <c r="O7" s="3">
        <f t="shared" ca="1" si="2"/>
        <v>8</v>
      </c>
      <c r="P7">
        <f t="shared" ca="1" si="3"/>
        <v>88</v>
      </c>
      <c r="Q7">
        <f t="shared" ca="1" si="4"/>
        <v>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-14</v>
      </c>
      <c r="P8" s="2">
        <f t="shared" ca="1" si="3"/>
        <v>66</v>
      </c>
      <c r="Q8">
        <f t="shared" ca="1" si="4"/>
        <v>20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8</v>
      </c>
      <c r="P9">
        <f t="shared" ca="1" si="3"/>
        <v>88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-6</v>
      </c>
      <c r="P10">
        <f t="shared" ca="1" si="3"/>
        <v>74</v>
      </c>
      <c r="Q10">
        <f t="shared" ca="1" si="4"/>
        <v>16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-10</v>
      </c>
      <c r="P11">
        <f t="shared" ca="1" si="3"/>
        <v>70</v>
      </c>
      <c r="Q11">
        <f t="shared" ca="1" si="4"/>
        <v>18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18</v>
      </c>
      <c r="M12">
        <f t="shared" ca="1" si="1"/>
        <v>18</v>
      </c>
      <c r="N12">
        <v>80</v>
      </c>
      <c r="O12">
        <f t="shared" ca="1" si="2"/>
        <v>13</v>
      </c>
      <c r="P12">
        <f t="shared" ca="1" si="3"/>
        <v>93</v>
      </c>
      <c r="Q12">
        <f t="shared" ca="1" si="4"/>
        <v>2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15</v>
      </c>
      <c r="M13">
        <f t="shared" ca="1" si="1"/>
        <v>15</v>
      </c>
      <c r="N13">
        <v>80</v>
      </c>
      <c r="O13">
        <f t="shared" ca="1" si="2"/>
        <v>10</v>
      </c>
      <c r="P13">
        <f t="shared" ca="1" si="3"/>
        <v>90</v>
      </c>
      <c r="Q13">
        <f t="shared" ca="1" si="4"/>
        <v>3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12</v>
      </c>
      <c r="M14">
        <f t="shared" ca="1" si="1"/>
        <v>12</v>
      </c>
      <c r="N14">
        <v>80</v>
      </c>
      <c r="O14">
        <f t="shared" ca="1" si="2"/>
        <v>9</v>
      </c>
      <c r="P14">
        <f t="shared" ca="1" si="3"/>
        <v>89</v>
      </c>
      <c r="Q14">
        <f t="shared" ca="1" si="4"/>
        <v>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-11</v>
      </c>
      <c r="P15">
        <f t="shared" ca="1" si="3"/>
        <v>69</v>
      </c>
      <c r="Q15">
        <f t="shared" ca="1" si="4"/>
        <v>19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</v>
      </c>
      <c r="P16">
        <f t="shared" ca="1" si="3"/>
        <v>79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-6</v>
      </c>
      <c r="P17">
        <f t="shared" ca="1" si="3"/>
        <v>74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25</v>
      </c>
      <c r="M18">
        <f t="shared" ca="1" si="1"/>
        <v>25</v>
      </c>
      <c r="N18">
        <v>80</v>
      </c>
      <c r="O18">
        <f t="shared" ca="1" si="2"/>
        <v>14</v>
      </c>
      <c r="P18">
        <f t="shared" ca="1" si="3"/>
        <v>94</v>
      </c>
      <c r="Q18">
        <f t="shared" ca="1" si="4"/>
        <v>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</v>
      </c>
      <c r="M19">
        <f t="shared" ca="1" si="1"/>
        <v>1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10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4</v>
      </c>
      <c r="M20">
        <f t="shared" ca="1" si="1"/>
        <v>4</v>
      </c>
      <c r="N20">
        <v>80</v>
      </c>
      <c r="O20">
        <f t="shared" ca="1" si="2"/>
        <v>5</v>
      </c>
      <c r="P20">
        <f t="shared" ca="1" si="3"/>
        <v>85</v>
      </c>
      <c r="Q20">
        <f t="shared" ca="1" si="4"/>
        <v>8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-3</v>
      </c>
      <c r="P21">
        <f t="shared" ca="1" si="3"/>
        <v>77</v>
      </c>
      <c r="Q21">
        <f t="shared" ca="1" si="4"/>
        <v>14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-4</v>
      </c>
      <c r="P22">
        <f t="shared" ca="1" si="3"/>
        <v>76</v>
      </c>
      <c r="Q22">
        <f t="shared" ca="1" si="4"/>
        <v>15</v>
      </c>
    </row>
    <row r="23" spans="1:20" x14ac:dyDescent="0.25">
      <c r="A23" t="s">
        <v>54</v>
      </c>
      <c r="B23" t="s">
        <v>37</v>
      </c>
      <c r="C23">
        <f t="shared" ca="1" si="0"/>
        <v>6</v>
      </c>
      <c r="M23">
        <f t="shared" ca="1" si="1"/>
        <v>6</v>
      </c>
      <c r="N23">
        <v>80</v>
      </c>
      <c r="O23">
        <f t="shared" ca="1" si="2"/>
        <v>7</v>
      </c>
      <c r="P23">
        <f t="shared" ca="1" si="3"/>
        <v>87</v>
      </c>
      <c r="Q23">
        <f t="shared" ca="1" si="4"/>
        <v>7</v>
      </c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oglio4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18</v>
      </c>
      <c r="M4">
        <f t="shared" ref="M4:M23" ca="1" si="1">SUM(C4:L4)</f>
        <v>18</v>
      </c>
      <c r="N4">
        <v>80</v>
      </c>
      <c r="O4">
        <f t="shared" ref="O4:O23" ca="1" si="2">RANDBETWEEN(-15,15)</f>
        <v>14</v>
      </c>
      <c r="P4">
        <f t="shared" ref="P4:P23" ca="1" si="3">N4+O4</f>
        <v>94</v>
      </c>
      <c r="Q4">
        <f t="shared" ref="Q4:Q23" ca="1" si="4">RANK(P4,$P$4:$P$23,0)</f>
        <v>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1</v>
      </c>
      <c r="P5">
        <f t="shared" ca="1" si="3"/>
        <v>81</v>
      </c>
      <c r="Q5">
        <f t="shared" ca="1" si="4"/>
        <v>13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25</v>
      </c>
      <c r="M6">
        <f t="shared" ca="1" si="1"/>
        <v>25</v>
      </c>
      <c r="N6">
        <v>80</v>
      </c>
      <c r="O6">
        <f t="shared" ca="1" si="2"/>
        <v>15</v>
      </c>
      <c r="P6">
        <f t="shared" ca="1" si="3"/>
        <v>95</v>
      </c>
      <c r="Q6">
        <f t="shared" ca="1" si="4"/>
        <v>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</v>
      </c>
      <c r="P7">
        <f t="shared" ca="1" si="3"/>
        <v>79</v>
      </c>
      <c r="Q7">
        <f t="shared" ca="1" si="4"/>
        <v>15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-15</v>
      </c>
      <c r="P8" s="2">
        <f t="shared" ca="1" si="3"/>
        <v>65</v>
      </c>
      <c r="Q8">
        <f t="shared" ca="1" si="4"/>
        <v>19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4</v>
      </c>
      <c r="M9">
        <f t="shared" ca="1" si="1"/>
        <v>4</v>
      </c>
      <c r="N9">
        <v>80</v>
      </c>
      <c r="O9">
        <f t="shared" ca="1" si="2"/>
        <v>7</v>
      </c>
      <c r="P9">
        <f t="shared" ca="1" si="3"/>
        <v>87</v>
      </c>
      <c r="Q9">
        <f t="shared" ca="1" si="4"/>
        <v>8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5</v>
      </c>
      <c r="P10">
        <f t="shared" ca="1" si="3"/>
        <v>85</v>
      </c>
      <c r="Q10">
        <f t="shared" ca="1" si="4"/>
        <v>12</v>
      </c>
    </row>
    <row r="11" spans="1:20" x14ac:dyDescent="0.25">
      <c r="A11" t="s">
        <v>41</v>
      </c>
      <c r="B11" t="s">
        <v>31</v>
      </c>
      <c r="C11">
        <f t="shared" ca="1" si="0"/>
        <v>4</v>
      </c>
      <c r="M11">
        <f t="shared" ca="1" si="1"/>
        <v>4</v>
      </c>
      <c r="N11">
        <v>80</v>
      </c>
      <c r="O11">
        <f t="shared" ca="1" si="2"/>
        <v>7</v>
      </c>
      <c r="P11">
        <f t="shared" ca="1" si="3"/>
        <v>87</v>
      </c>
      <c r="Q11">
        <f t="shared" ca="1" si="4"/>
        <v>8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15</v>
      </c>
      <c r="M12">
        <f t="shared" ca="1" si="1"/>
        <v>15</v>
      </c>
      <c r="N12">
        <v>80</v>
      </c>
      <c r="O12">
        <f t="shared" ca="1" si="2"/>
        <v>12</v>
      </c>
      <c r="P12">
        <f t="shared" ca="1" si="3"/>
        <v>92</v>
      </c>
      <c r="Q12">
        <f t="shared" ca="1" si="4"/>
        <v>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</v>
      </c>
      <c r="M13">
        <f t="shared" ca="1" si="1"/>
        <v>1</v>
      </c>
      <c r="N13">
        <v>80</v>
      </c>
      <c r="O13">
        <f t="shared" ca="1" si="2"/>
        <v>6</v>
      </c>
      <c r="P13">
        <f t="shared" ca="1" si="3"/>
        <v>86</v>
      </c>
      <c r="Q13">
        <f t="shared" ca="1" si="4"/>
        <v>10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10</v>
      </c>
      <c r="M14">
        <f t="shared" ca="1" si="1"/>
        <v>10</v>
      </c>
      <c r="N14">
        <v>80</v>
      </c>
      <c r="O14">
        <f t="shared" ca="1" si="2"/>
        <v>10</v>
      </c>
      <c r="P14">
        <f t="shared" ca="1" si="3"/>
        <v>90</v>
      </c>
      <c r="Q14">
        <f t="shared" ca="1" si="4"/>
        <v>5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6</v>
      </c>
      <c r="P15">
        <f t="shared" ca="1" si="3"/>
        <v>86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-14</v>
      </c>
      <c r="P16">
        <f t="shared" ca="1" si="3"/>
        <v>66</v>
      </c>
      <c r="Q16">
        <f t="shared" ca="1" si="4"/>
        <v>18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0</v>
      </c>
      <c r="P17">
        <f t="shared" ca="1" si="3"/>
        <v>80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-15</v>
      </c>
      <c r="P18">
        <f t="shared" ca="1" si="3"/>
        <v>65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6</v>
      </c>
      <c r="M19">
        <f t="shared" ca="1" si="1"/>
        <v>6</v>
      </c>
      <c r="N19">
        <v>80</v>
      </c>
      <c r="O19">
        <f t="shared" ca="1" si="2"/>
        <v>8</v>
      </c>
      <c r="P19">
        <f t="shared" ca="1" si="3"/>
        <v>88</v>
      </c>
      <c r="Q19">
        <f t="shared" ca="1" si="4"/>
        <v>7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10</v>
      </c>
      <c r="M20">
        <f t="shared" ca="1" si="1"/>
        <v>10</v>
      </c>
      <c r="N20">
        <v>80</v>
      </c>
      <c r="O20">
        <f t="shared" ca="1" si="2"/>
        <v>10</v>
      </c>
      <c r="P20">
        <f t="shared" ca="1" si="3"/>
        <v>90</v>
      </c>
      <c r="Q20">
        <f t="shared" ca="1" si="4"/>
        <v>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11</v>
      </c>
      <c r="P21">
        <f t="shared" ca="1" si="3"/>
        <v>91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</v>
      </c>
      <c r="P22">
        <f t="shared" ca="1" si="3"/>
        <v>79</v>
      </c>
      <c r="Q22">
        <f t="shared" ca="1" si="4"/>
        <v>15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-6</v>
      </c>
      <c r="P23">
        <f t="shared" ca="1" si="3"/>
        <v>74</v>
      </c>
      <c r="Q23">
        <f t="shared" ca="1" si="4"/>
        <v>17</v>
      </c>
    </row>
  </sheetData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oglio4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18</v>
      </c>
      <c r="M4">
        <f t="shared" ref="M4:M23" ca="1" si="1">SUM(C4:L4)</f>
        <v>18</v>
      </c>
      <c r="N4">
        <v>80</v>
      </c>
      <c r="O4">
        <f t="shared" ref="O4:O23" ca="1" si="2">RANDBETWEEN(-15,15)</f>
        <v>12</v>
      </c>
      <c r="P4">
        <f t="shared" ref="P4:P23" ca="1" si="3">N4+O4</f>
        <v>92</v>
      </c>
      <c r="Q4">
        <f t="shared" ref="Q4:Q23" ca="1" si="4">RANK(P4,$P$4:$P$23,0)</f>
        <v>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-10</v>
      </c>
      <c r="P5">
        <f t="shared" ca="1" si="3"/>
        <v>70</v>
      </c>
      <c r="Q5">
        <f t="shared" ca="1" si="4"/>
        <v>15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15</v>
      </c>
      <c r="M6">
        <f t="shared" ca="1" si="1"/>
        <v>15</v>
      </c>
      <c r="N6">
        <v>80</v>
      </c>
      <c r="O6">
        <f t="shared" ca="1" si="2"/>
        <v>8</v>
      </c>
      <c r="P6">
        <f t="shared" ca="1" si="3"/>
        <v>88</v>
      </c>
      <c r="Q6">
        <f t="shared" ca="1" si="4"/>
        <v>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1</v>
      </c>
      <c r="P7">
        <f t="shared" ca="1" si="3"/>
        <v>81</v>
      </c>
      <c r="Q7">
        <f t="shared" ca="1" si="4"/>
        <v>11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-3</v>
      </c>
      <c r="P8" s="2">
        <f t="shared" ca="1" si="3"/>
        <v>77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6</v>
      </c>
      <c r="M9">
        <f t="shared" ca="1" si="1"/>
        <v>6</v>
      </c>
      <c r="N9">
        <v>80</v>
      </c>
      <c r="O9">
        <f t="shared" ca="1" si="2"/>
        <v>4</v>
      </c>
      <c r="P9">
        <f t="shared" ca="1" si="3"/>
        <v>84</v>
      </c>
      <c r="Q9">
        <f t="shared" ca="1" si="4"/>
        <v>7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-10</v>
      </c>
      <c r="P10">
        <f t="shared" ca="1" si="3"/>
        <v>70</v>
      </c>
      <c r="Q10">
        <f t="shared" ca="1" si="4"/>
        <v>15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6</v>
      </c>
      <c r="P11">
        <f t="shared" ca="1" si="3"/>
        <v>86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-6</v>
      </c>
      <c r="P12">
        <f t="shared" ca="1" si="3"/>
        <v>74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25</v>
      </c>
      <c r="M13">
        <f t="shared" ca="1" si="1"/>
        <v>25</v>
      </c>
      <c r="N13">
        <v>80</v>
      </c>
      <c r="O13">
        <f t="shared" ca="1" si="2"/>
        <v>13</v>
      </c>
      <c r="P13">
        <f t="shared" ca="1" si="3"/>
        <v>93</v>
      </c>
      <c r="Q13">
        <f t="shared" ca="1" si="4"/>
        <v>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-13</v>
      </c>
      <c r="P14">
        <f t="shared" ca="1" si="3"/>
        <v>67</v>
      </c>
      <c r="Q14">
        <f t="shared" ca="1" si="4"/>
        <v>20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4</v>
      </c>
      <c r="M15">
        <f t="shared" ca="1" si="1"/>
        <v>4</v>
      </c>
      <c r="N15">
        <v>80</v>
      </c>
      <c r="O15">
        <f t="shared" ca="1" si="2"/>
        <v>3</v>
      </c>
      <c r="P15">
        <f t="shared" ca="1" si="3"/>
        <v>83</v>
      </c>
      <c r="Q15">
        <f t="shared" ca="1" si="4"/>
        <v>8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-10</v>
      </c>
      <c r="P16">
        <f t="shared" ca="1" si="3"/>
        <v>70</v>
      </c>
      <c r="Q16">
        <f t="shared" ca="1" si="4"/>
        <v>15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-8</v>
      </c>
      <c r="P17">
        <f t="shared" ca="1" si="3"/>
        <v>72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2</v>
      </c>
      <c r="M18">
        <f t="shared" ca="1" si="1"/>
        <v>2</v>
      </c>
      <c r="N18">
        <v>80</v>
      </c>
      <c r="O18">
        <f t="shared" ca="1" si="2"/>
        <v>2</v>
      </c>
      <c r="P18">
        <f t="shared" ca="1" si="3"/>
        <v>82</v>
      </c>
      <c r="Q18">
        <f t="shared" ca="1" si="4"/>
        <v>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</v>
      </c>
      <c r="M19">
        <f t="shared" ca="1" si="1"/>
        <v>2</v>
      </c>
      <c r="N19">
        <v>80</v>
      </c>
      <c r="O19">
        <f t="shared" ca="1" si="2"/>
        <v>2</v>
      </c>
      <c r="P19">
        <f t="shared" ca="1" si="3"/>
        <v>82</v>
      </c>
      <c r="Q19">
        <f t="shared" ca="1" si="4"/>
        <v>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10</v>
      </c>
      <c r="M20">
        <f t="shared" ca="1" si="1"/>
        <v>10</v>
      </c>
      <c r="N20">
        <v>80</v>
      </c>
      <c r="O20">
        <f t="shared" ca="1" si="2"/>
        <v>5</v>
      </c>
      <c r="P20">
        <f t="shared" ca="1" si="3"/>
        <v>85</v>
      </c>
      <c r="Q20">
        <f t="shared" ca="1" si="4"/>
        <v>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10</v>
      </c>
      <c r="M21">
        <f t="shared" ca="1" si="1"/>
        <v>10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-10</v>
      </c>
      <c r="P22">
        <f t="shared" ca="1" si="3"/>
        <v>70</v>
      </c>
      <c r="Q22">
        <f t="shared" ca="1" si="4"/>
        <v>15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-10</v>
      </c>
      <c r="P23">
        <f t="shared" ca="1" si="3"/>
        <v>70</v>
      </c>
      <c r="Q23">
        <f t="shared" ca="1" si="4"/>
        <v>15</v>
      </c>
    </row>
  </sheetData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oglio44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96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2</v>
      </c>
      <c r="P4">
        <f t="shared" ref="P4:P23" ca="1" si="3">N4+O4</f>
        <v>82</v>
      </c>
      <c r="Q4">
        <f t="shared" ref="Q4:Q23" ca="1" si="4">RANK(P4,$P$4:$P$23,0)</f>
        <v>11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15</v>
      </c>
      <c r="M5">
        <f t="shared" ca="1" si="1"/>
        <v>15</v>
      </c>
      <c r="N5">
        <v>80</v>
      </c>
      <c r="O5">
        <f t="shared" ca="1" si="2"/>
        <v>13</v>
      </c>
      <c r="P5">
        <f t="shared" ca="1" si="3"/>
        <v>93</v>
      </c>
      <c r="Q5">
        <f t="shared" ca="1" si="4"/>
        <v>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1</v>
      </c>
      <c r="P6">
        <f t="shared" ca="1" si="3"/>
        <v>81</v>
      </c>
      <c r="Q6">
        <f t="shared" ca="1" si="4"/>
        <v>13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-3</v>
      </c>
      <c r="P7">
        <f t="shared" ca="1" si="3"/>
        <v>77</v>
      </c>
      <c r="Q7">
        <f t="shared" ca="1" si="4"/>
        <v>15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25</v>
      </c>
      <c r="M8">
        <f t="shared" ca="1" si="1"/>
        <v>25</v>
      </c>
      <c r="N8">
        <v>80</v>
      </c>
      <c r="O8" s="2">
        <f t="shared" ca="1" si="2"/>
        <v>14</v>
      </c>
      <c r="P8" s="2">
        <f t="shared" ca="1" si="3"/>
        <v>94</v>
      </c>
      <c r="Q8">
        <f t="shared" ca="1" si="4"/>
        <v>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6</v>
      </c>
      <c r="M9">
        <f t="shared" ca="1" si="1"/>
        <v>6</v>
      </c>
      <c r="N9">
        <v>80</v>
      </c>
      <c r="O9">
        <f t="shared" ca="1" si="2"/>
        <v>5</v>
      </c>
      <c r="P9">
        <f t="shared" ca="1" si="3"/>
        <v>85</v>
      </c>
      <c r="Q9">
        <f t="shared" ca="1" si="4"/>
        <v>7</v>
      </c>
    </row>
    <row r="10" spans="1:20" x14ac:dyDescent="0.25">
      <c r="A10" t="s">
        <v>40</v>
      </c>
      <c r="B10" t="s">
        <v>28</v>
      </c>
      <c r="C10">
        <f t="shared" ca="1" si="0"/>
        <v>6</v>
      </c>
      <c r="M10">
        <f t="shared" ca="1" si="1"/>
        <v>6</v>
      </c>
      <c r="N10">
        <v>80</v>
      </c>
      <c r="O10">
        <f t="shared" ca="1" si="2"/>
        <v>5</v>
      </c>
      <c r="P10">
        <f t="shared" ca="1" si="3"/>
        <v>85</v>
      </c>
      <c r="Q10">
        <f t="shared" ca="1" si="4"/>
        <v>7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2</v>
      </c>
      <c r="P11">
        <f t="shared" ca="1" si="3"/>
        <v>82</v>
      </c>
      <c r="Q11">
        <f t="shared" ca="1" si="4"/>
        <v>11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7</v>
      </c>
      <c r="P12">
        <f t="shared" ca="1" si="3"/>
        <v>87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25</v>
      </c>
      <c r="M13">
        <f t="shared" ca="1" si="1"/>
        <v>25</v>
      </c>
      <c r="N13">
        <v>80</v>
      </c>
      <c r="O13">
        <f t="shared" ca="1" si="2"/>
        <v>14</v>
      </c>
      <c r="P13">
        <f t="shared" ca="1" si="3"/>
        <v>94</v>
      </c>
      <c r="Q13">
        <f t="shared" ca="1" si="4"/>
        <v>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-14</v>
      </c>
      <c r="P14">
        <f t="shared" ca="1" si="3"/>
        <v>66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-5</v>
      </c>
      <c r="P15">
        <f t="shared" ca="1" si="3"/>
        <v>75</v>
      </c>
      <c r="Q15">
        <f t="shared" ca="1" si="4"/>
        <v>16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-7</v>
      </c>
      <c r="P16">
        <f t="shared" ca="1" si="3"/>
        <v>73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</v>
      </c>
      <c r="M17">
        <f t="shared" ca="1" si="1"/>
        <v>1</v>
      </c>
      <c r="N17">
        <v>80</v>
      </c>
      <c r="O17">
        <f t="shared" ca="1" si="2"/>
        <v>3</v>
      </c>
      <c r="P17">
        <f t="shared" ca="1" si="3"/>
        <v>83</v>
      </c>
      <c r="Q17">
        <f t="shared" ca="1" si="4"/>
        <v>10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8</v>
      </c>
      <c r="M18">
        <f t="shared" ca="1" si="1"/>
        <v>8</v>
      </c>
      <c r="N18">
        <v>80</v>
      </c>
      <c r="O18">
        <f t="shared" ca="1" si="2"/>
        <v>6</v>
      </c>
      <c r="P18">
        <f t="shared" ca="1" si="3"/>
        <v>86</v>
      </c>
      <c r="Q18">
        <f t="shared" ca="1" si="4"/>
        <v>6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12</v>
      </c>
      <c r="M19">
        <f t="shared" ca="1" si="1"/>
        <v>12</v>
      </c>
      <c r="N19">
        <v>80</v>
      </c>
      <c r="O19">
        <f t="shared" ca="1" si="2"/>
        <v>8</v>
      </c>
      <c r="P19">
        <f t="shared" ca="1" si="3"/>
        <v>88</v>
      </c>
      <c r="Q19">
        <f t="shared" ca="1" si="4"/>
        <v>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6</v>
      </c>
      <c r="M20">
        <f t="shared" ca="1" si="1"/>
        <v>6</v>
      </c>
      <c r="N20">
        <v>80</v>
      </c>
      <c r="O20">
        <f t="shared" ca="1" si="2"/>
        <v>5</v>
      </c>
      <c r="P20">
        <f t="shared" ca="1" si="3"/>
        <v>85</v>
      </c>
      <c r="Q20">
        <f t="shared" ca="1" si="4"/>
        <v>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-15</v>
      </c>
      <c r="P21">
        <f t="shared" ca="1" si="3"/>
        <v>65</v>
      </c>
      <c r="Q21">
        <f t="shared" ca="1" si="4"/>
        <v>20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</v>
      </c>
      <c r="P22">
        <f t="shared" ca="1" si="3"/>
        <v>79</v>
      </c>
      <c r="Q22">
        <f t="shared" ca="1" si="4"/>
        <v>14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-14</v>
      </c>
      <c r="P23">
        <f t="shared" ca="1" si="3"/>
        <v>66</v>
      </c>
      <c r="Q23">
        <f t="shared" ca="1" si="4"/>
        <v>18</v>
      </c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oglio4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25</v>
      </c>
      <c r="M4">
        <f t="shared" ref="M4:M23" ca="1" si="1">SUM(C4:L4)</f>
        <v>25</v>
      </c>
      <c r="N4">
        <v>80</v>
      </c>
      <c r="O4">
        <f t="shared" ref="O4:O23" ca="1" si="2">RANDBETWEEN(-15,15)</f>
        <v>15</v>
      </c>
      <c r="P4">
        <f t="shared" ref="P4:P23" ca="1" si="3">N4+O4</f>
        <v>95</v>
      </c>
      <c r="Q4">
        <f t="shared" ref="Q4:Q23" ca="1" si="4">RANK(P4,$P$4:$P$23,0)</f>
        <v>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-9</v>
      </c>
      <c r="P5">
        <f t="shared" ca="1" si="3"/>
        <v>71</v>
      </c>
      <c r="Q5">
        <f t="shared" ca="1" si="4"/>
        <v>20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</v>
      </c>
      <c r="M6">
        <f t="shared" ca="1" si="1"/>
        <v>1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10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25</v>
      </c>
      <c r="M7">
        <f t="shared" ca="1" si="1"/>
        <v>25</v>
      </c>
      <c r="N7">
        <v>80</v>
      </c>
      <c r="O7" s="3">
        <f t="shared" ca="1" si="2"/>
        <v>15</v>
      </c>
      <c r="P7">
        <f t="shared" ca="1" si="3"/>
        <v>95</v>
      </c>
      <c r="Q7">
        <f t="shared" ca="1" si="4"/>
        <v>1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-5</v>
      </c>
      <c r="P8" s="2">
        <f t="shared" ca="1" si="3"/>
        <v>75</v>
      </c>
      <c r="Q8">
        <f t="shared" ca="1" si="4"/>
        <v>16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11</v>
      </c>
      <c r="P9">
        <f t="shared" ca="1" si="3"/>
        <v>91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11</v>
      </c>
      <c r="P10">
        <f t="shared" ca="1" si="3"/>
        <v>91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-7</v>
      </c>
      <c r="P11">
        <f t="shared" ca="1" si="3"/>
        <v>73</v>
      </c>
      <c r="Q11">
        <f t="shared" ca="1" si="4"/>
        <v>18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-3</v>
      </c>
      <c r="P12">
        <f t="shared" ca="1" si="3"/>
        <v>77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-4</v>
      </c>
      <c r="P13">
        <f t="shared" ca="1" si="3"/>
        <v>76</v>
      </c>
      <c r="Q13">
        <f t="shared" ca="1" si="4"/>
        <v>14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-4</v>
      </c>
      <c r="P14">
        <f t="shared" ca="1" si="3"/>
        <v>76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</v>
      </c>
      <c r="P15">
        <f t="shared" ca="1" si="3"/>
        <v>79</v>
      </c>
      <c r="Q15">
        <f t="shared" ca="1" si="4"/>
        <v>12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6</v>
      </c>
      <c r="P17">
        <f t="shared" ca="1" si="3"/>
        <v>86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-6</v>
      </c>
      <c r="P18">
        <f t="shared" ca="1" si="3"/>
        <v>74</v>
      </c>
      <c r="Q18">
        <f t="shared" ca="1" si="4"/>
        <v>17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-8</v>
      </c>
      <c r="P19">
        <f t="shared" ca="1" si="3"/>
        <v>72</v>
      </c>
      <c r="Q19">
        <f t="shared" ca="1" si="4"/>
        <v>19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10</v>
      </c>
      <c r="M20">
        <f t="shared" ca="1" si="1"/>
        <v>10</v>
      </c>
      <c r="N20">
        <v>80</v>
      </c>
      <c r="O20">
        <f t="shared" ca="1" si="2"/>
        <v>11</v>
      </c>
      <c r="P20">
        <f t="shared" ca="1" si="3"/>
        <v>91</v>
      </c>
      <c r="Q20">
        <f t="shared" ca="1" si="4"/>
        <v>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2</v>
      </c>
      <c r="P21">
        <f t="shared" ca="1" si="3"/>
        <v>82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25</v>
      </c>
      <c r="M22">
        <f t="shared" ca="1" si="1"/>
        <v>25</v>
      </c>
      <c r="N22">
        <v>80</v>
      </c>
      <c r="O22">
        <f t="shared" ca="1" si="2"/>
        <v>15</v>
      </c>
      <c r="P22">
        <f t="shared" ca="1" si="3"/>
        <v>95</v>
      </c>
      <c r="Q22">
        <f t="shared" ca="1" si="4"/>
        <v>1</v>
      </c>
    </row>
    <row r="23" spans="1:20" x14ac:dyDescent="0.25">
      <c r="A23" t="s">
        <v>54</v>
      </c>
      <c r="B23" t="s">
        <v>37</v>
      </c>
      <c r="C23">
        <f t="shared" ca="1" si="0"/>
        <v>10</v>
      </c>
      <c r="M23">
        <f t="shared" ca="1" si="1"/>
        <v>10</v>
      </c>
      <c r="N23">
        <v>80</v>
      </c>
      <c r="O23">
        <f t="shared" ca="1" si="2"/>
        <v>11</v>
      </c>
      <c r="P23">
        <f t="shared" ca="1" si="3"/>
        <v>91</v>
      </c>
      <c r="Q23">
        <f t="shared" ca="1" si="4"/>
        <v>5</v>
      </c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oglio4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-5</v>
      </c>
      <c r="P4">
        <f t="shared" ref="P4:P23" ca="1" si="3">N4+O4</f>
        <v>75</v>
      </c>
      <c r="Q4">
        <f t="shared" ref="Q4:Q23" ca="1" si="4">RANK(P4,$P$4:$P$23,0)</f>
        <v>16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25</v>
      </c>
      <c r="M5">
        <f t="shared" ca="1" si="1"/>
        <v>25</v>
      </c>
      <c r="N5">
        <v>80</v>
      </c>
      <c r="O5">
        <f t="shared" ca="1" si="2"/>
        <v>14</v>
      </c>
      <c r="P5">
        <f t="shared" ca="1" si="3"/>
        <v>94</v>
      </c>
      <c r="Q5">
        <f t="shared" ca="1" si="4"/>
        <v>1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-2</v>
      </c>
      <c r="P6">
        <f t="shared" ca="1" si="3"/>
        <v>78</v>
      </c>
      <c r="Q6">
        <f t="shared" ca="1" si="4"/>
        <v>15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10</v>
      </c>
      <c r="M7">
        <f t="shared" ca="1" si="1"/>
        <v>10</v>
      </c>
      <c r="N7">
        <v>80</v>
      </c>
      <c r="O7" s="3">
        <f t="shared" ca="1" si="2"/>
        <v>10</v>
      </c>
      <c r="P7">
        <f t="shared" ca="1" si="3"/>
        <v>90</v>
      </c>
      <c r="Q7">
        <f t="shared" ca="1" si="4"/>
        <v>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10</v>
      </c>
      <c r="M8">
        <f t="shared" ca="1" si="1"/>
        <v>10</v>
      </c>
      <c r="N8">
        <v>80</v>
      </c>
      <c r="O8" s="2">
        <f t="shared" ca="1" si="2"/>
        <v>10</v>
      </c>
      <c r="P8" s="2">
        <f t="shared" ca="1" si="3"/>
        <v>90</v>
      </c>
      <c r="Q8">
        <f t="shared" ca="1" si="4"/>
        <v>5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-6</v>
      </c>
      <c r="P9">
        <f t="shared" ca="1" si="3"/>
        <v>74</v>
      </c>
      <c r="Q9">
        <f t="shared" ca="1" si="4"/>
        <v>17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4</v>
      </c>
      <c r="P10">
        <f t="shared" ca="1" si="3"/>
        <v>84</v>
      </c>
      <c r="Q10">
        <f t="shared" ca="1" si="4"/>
        <v>12</v>
      </c>
    </row>
    <row r="11" spans="1:20" x14ac:dyDescent="0.25">
      <c r="A11" t="s">
        <v>41</v>
      </c>
      <c r="B11" t="s">
        <v>31</v>
      </c>
      <c r="C11">
        <f t="shared" ca="1" si="0"/>
        <v>25</v>
      </c>
      <c r="M11">
        <f t="shared" ca="1" si="1"/>
        <v>25</v>
      </c>
      <c r="N11">
        <v>80</v>
      </c>
      <c r="O11">
        <f t="shared" ca="1" si="2"/>
        <v>14</v>
      </c>
      <c r="P11">
        <f t="shared" ca="1" si="3"/>
        <v>94</v>
      </c>
      <c r="Q11">
        <f t="shared" ca="1" si="4"/>
        <v>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10</v>
      </c>
      <c r="P12">
        <f t="shared" ca="1" si="3"/>
        <v>90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7</v>
      </c>
      <c r="P13">
        <f t="shared" ca="1" si="3"/>
        <v>87</v>
      </c>
      <c r="Q13">
        <f t="shared" ca="1" si="4"/>
        <v>11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-11</v>
      </c>
      <c r="P14">
        <f t="shared" ca="1" si="3"/>
        <v>69</v>
      </c>
      <c r="Q14">
        <f t="shared" ca="1" si="4"/>
        <v>18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10</v>
      </c>
      <c r="M15">
        <f t="shared" ca="1" si="1"/>
        <v>10</v>
      </c>
      <c r="N15">
        <v>80</v>
      </c>
      <c r="O15">
        <f t="shared" ca="1" si="2"/>
        <v>10</v>
      </c>
      <c r="P15">
        <f t="shared" ca="1" si="3"/>
        <v>90</v>
      </c>
      <c r="Q15">
        <f t="shared" ca="1" si="4"/>
        <v>5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-13</v>
      </c>
      <c r="P16">
        <f t="shared" ca="1" si="3"/>
        <v>67</v>
      </c>
      <c r="Q16">
        <f t="shared" ca="1" si="4"/>
        <v>19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0</v>
      </c>
      <c r="P17">
        <f t="shared" ca="1" si="3"/>
        <v>80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-15</v>
      </c>
      <c r="P18">
        <f t="shared" ca="1" si="3"/>
        <v>65</v>
      </c>
      <c r="Q18">
        <f t="shared" ca="1" si="4"/>
        <v>20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</v>
      </c>
      <c r="M19">
        <f t="shared" ca="1" si="1"/>
        <v>1</v>
      </c>
      <c r="N19">
        <v>80</v>
      </c>
      <c r="O19">
        <f t="shared" ca="1" si="2"/>
        <v>8</v>
      </c>
      <c r="P19">
        <f t="shared" ca="1" si="3"/>
        <v>88</v>
      </c>
      <c r="Q19">
        <f t="shared" ca="1" si="4"/>
        <v>10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4</v>
      </c>
      <c r="P20">
        <f t="shared" ca="1" si="3"/>
        <v>84</v>
      </c>
      <c r="Q20">
        <f t="shared" ca="1" si="4"/>
        <v>12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11</v>
      </c>
      <c r="P21">
        <f t="shared" ca="1" si="3"/>
        <v>91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25</v>
      </c>
      <c r="M22">
        <f t="shared" ca="1" si="1"/>
        <v>25</v>
      </c>
      <c r="N22">
        <v>80</v>
      </c>
      <c r="O22">
        <f t="shared" ca="1" si="2"/>
        <v>14</v>
      </c>
      <c r="P22">
        <f t="shared" ca="1" si="3"/>
        <v>94</v>
      </c>
      <c r="Q22">
        <f t="shared" ca="1" si="4"/>
        <v>1</v>
      </c>
    </row>
    <row r="23" spans="1:20" x14ac:dyDescent="0.25">
      <c r="A23" t="s">
        <v>54</v>
      </c>
      <c r="B23" t="s">
        <v>37</v>
      </c>
      <c r="C23">
        <f t="shared" ca="1" si="0"/>
        <v>10</v>
      </c>
      <c r="M23">
        <f t="shared" ca="1" si="1"/>
        <v>10</v>
      </c>
      <c r="N23">
        <v>80</v>
      </c>
      <c r="O23">
        <f t="shared" ca="1" si="2"/>
        <v>10</v>
      </c>
      <c r="P23">
        <f t="shared" ca="1" si="3"/>
        <v>90</v>
      </c>
      <c r="Q23">
        <f t="shared" ca="1" si="4"/>
        <v>5</v>
      </c>
    </row>
  </sheetData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oglio4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99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-2</v>
      </c>
      <c r="P4">
        <f t="shared" ref="P4:P23" ca="1" si="3">N4+O4</f>
        <v>78</v>
      </c>
      <c r="Q4">
        <f t="shared" ref="Q4:Q23" ca="1" si="4">RANK(P4,$P$4:$P$23,0)</f>
        <v>13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8</v>
      </c>
      <c r="M5">
        <f t="shared" ca="1" si="1"/>
        <v>8</v>
      </c>
      <c r="N5">
        <v>80</v>
      </c>
      <c r="O5">
        <f t="shared" ca="1" si="2"/>
        <v>11</v>
      </c>
      <c r="P5">
        <f t="shared" ca="1" si="3"/>
        <v>91</v>
      </c>
      <c r="Q5">
        <f t="shared" ca="1" si="4"/>
        <v>6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0</v>
      </c>
      <c r="P6">
        <f t="shared" ca="1" si="3"/>
        <v>80</v>
      </c>
      <c r="Q6">
        <f t="shared" ca="1" si="4"/>
        <v>11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-13</v>
      </c>
      <c r="P7">
        <f t="shared" ca="1" si="3"/>
        <v>67</v>
      </c>
      <c r="Q7">
        <f t="shared" ca="1" si="4"/>
        <v>19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0</v>
      </c>
      <c r="P8" s="2">
        <f t="shared" ca="1" si="3"/>
        <v>80</v>
      </c>
      <c r="Q8">
        <f t="shared" ca="1" si="4"/>
        <v>11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-12</v>
      </c>
      <c r="P9">
        <f t="shared" ca="1" si="3"/>
        <v>68</v>
      </c>
      <c r="Q9">
        <f t="shared" ca="1" si="4"/>
        <v>16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10</v>
      </c>
      <c r="P10">
        <f t="shared" ca="1" si="3"/>
        <v>90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14</v>
      </c>
      <c r="P11">
        <f t="shared" ca="1" si="3"/>
        <v>94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-14</v>
      </c>
      <c r="P12">
        <f t="shared" ca="1" si="3"/>
        <v>66</v>
      </c>
      <c r="Q12">
        <f t="shared" ca="1" si="4"/>
        <v>20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</v>
      </c>
      <c r="M13">
        <f t="shared" ca="1" si="1"/>
        <v>2</v>
      </c>
      <c r="N13">
        <v>80</v>
      </c>
      <c r="O13">
        <f t="shared" ca="1" si="2"/>
        <v>5</v>
      </c>
      <c r="P13">
        <f t="shared" ca="1" si="3"/>
        <v>85</v>
      </c>
      <c r="Q13">
        <f t="shared" ca="1" si="4"/>
        <v>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15</v>
      </c>
      <c r="P14">
        <f t="shared" ca="1" si="3"/>
        <v>95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-12</v>
      </c>
      <c r="P15">
        <f t="shared" ca="1" si="3"/>
        <v>68</v>
      </c>
      <c r="Q15">
        <f t="shared" ca="1" si="4"/>
        <v>16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-12</v>
      </c>
      <c r="P16">
        <f t="shared" ca="1" si="3"/>
        <v>68</v>
      </c>
      <c r="Q16">
        <f t="shared" ca="1" si="4"/>
        <v>16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10</v>
      </c>
      <c r="M17">
        <f t="shared" ca="1" si="1"/>
        <v>10</v>
      </c>
      <c r="N17">
        <v>80</v>
      </c>
      <c r="O17">
        <f t="shared" ca="1" si="2"/>
        <v>12</v>
      </c>
      <c r="P17">
        <f t="shared" ca="1" si="3"/>
        <v>92</v>
      </c>
      <c r="Q17">
        <f t="shared" ca="1" si="4"/>
        <v>5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-6</v>
      </c>
      <c r="P18">
        <f t="shared" ca="1" si="3"/>
        <v>74</v>
      </c>
      <c r="Q18">
        <f t="shared" ca="1" si="4"/>
        <v>15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8</v>
      </c>
      <c r="M19">
        <f t="shared" ca="1" si="1"/>
        <v>8</v>
      </c>
      <c r="N19">
        <v>80</v>
      </c>
      <c r="O19">
        <f t="shared" ca="1" si="2"/>
        <v>11</v>
      </c>
      <c r="P19">
        <f t="shared" ca="1" si="3"/>
        <v>91</v>
      </c>
      <c r="Q19">
        <f t="shared" ca="1" si="4"/>
        <v>6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-2</v>
      </c>
      <c r="P20">
        <f t="shared" ca="1" si="3"/>
        <v>78</v>
      </c>
      <c r="Q20">
        <f t="shared" ca="1" si="4"/>
        <v>13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1</v>
      </c>
      <c r="P21">
        <f t="shared" ca="1" si="3"/>
        <v>81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25</v>
      </c>
      <c r="M22">
        <f t="shared" ca="1" si="1"/>
        <v>25</v>
      </c>
      <c r="N22">
        <v>80</v>
      </c>
      <c r="O22">
        <f t="shared" ca="1" si="2"/>
        <v>15</v>
      </c>
      <c r="P22">
        <f t="shared" ca="1" si="3"/>
        <v>95</v>
      </c>
      <c r="Q22">
        <f t="shared" ca="1" si="4"/>
        <v>1</v>
      </c>
    </row>
    <row r="23" spans="1:20" x14ac:dyDescent="0.25">
      <c r="A23" t="s">
        <v>54</v>
      </c>
      <c r="B23" t="s">
        <v>37</v>
      </c>
      <c r="C23">
        <f t="shared" ca="1" si="0"/>
        <v>15</v>
      </c>
      <c r="M23">
        <f t="shared" ca="1" si="1"/>
        <v>15</v>
      </c>
      <c r="N23">
        <v>80</v>
      </c>
      <c r="O23">
        <f t="shared" ca="1" si="2"/>
        <v>14</v>
      </c>
      <c r="P23">
        <f t="shared" ca="1" si="3"/>
        <v>94</v>
      </c>
      <c r="Q23">
        <f t="shared" ca="1" si="4"/>
        <v>3</v>
      </c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oglio4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18</v>
      </c>
      <c r="M4">
        <f t="shared" ref="M4:M23" ca="1" si="1">SUM(C4:L4)</f>
        <v>18</v>
      </c>
      <c r="N4">
        <v>80</v>
      </c>
      <c r="O4">
        <f t="shared" ref="O4:O23" ca="1" si="2">RANDBETWEEN(-15,15)</f>
        <v>13</v>
      </c>
      <c r="P4">
        <f t="shared" ref="P4:P23" ca="1" si="3">N4+O4</f>
        <v>93</v>
      </c>
      <c r="Q4">
        <f t="shared" ref="Q4:Q23" ca="1" si="4">RANK(P4,$P$4:$P$23,0)</f>
        <v>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4</v>
      </c>
      <c r="M5">
        <f t="shared" ca="1" si="1"/>
        <v>4</v>
      </c>
      <c r="N5">
        <v>80</v>
      </c>
      <c r="O5">
        <f t="shared" ca="1" si="2"/>
        <v>6</v>
      </c>
      <c r="P5">
        <f t="shared" ca="1" si="3"/>
        <v>86</v>
      </c>
      <c r="Q5">
        <f t="shared" ca="1" si="4"/>
        <v>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</v>
      </c>
      <c r="M6">
        <f t="shared" ca="1" si="1"/>
        <v>1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10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-15</v>
      </c>
      <c r="P7">
        <f t="shared" ca="1" si="3"/>
        <v>65</v>
      </c>
      <c r="Q7">
        <f t="shared" ca="1" si="4"/>
        <v>20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12</v>
      </c>
      <c r="M8">
        <f t="shared" ca="1" si="1"/>
        <v>12</v>
      </c>
      <c r="N8">
        <v>80</v>
      </c>
      <c r="O8" s="2">
        <f t="shared" ca="1" si="2"/>
        <v>12</v>
      </c>
      <c r="P8" s="2">
        <f t="shared" ca="1" si="3"/>
        <v>92</v>
      </c>
      <c r="Q8">
        <f t="shared" ca="1" si="4"/>
        <v>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-3</v>
      </c>
      <c r="P9">
        <f t="shared" ca="1" si="3"/>
        <v>77</v>
      </c>
      <c r="Q9">
        <f t="shared" ca="1" si="4"/>
        <v>12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-9</v>
      </c>
      <c r="P10">
        <f t="shared" ca="1" si="3"/>
        <v>71</v>
      </c>
      <c r="Q10">
        <f t="shared" ca="1" si="4"/>
        <v>16</v>
      </c>
    </row>
    <row r="11" spans="1:20" x14ac:dyDescent="0.25">
      <c r="A11" t="s">
        <v>41</v>
      </c>
      <c r="B11" t="s">
        <v>31</v>
      </c>
      <c r="C11">
        <f t="shared" ca="1" si="0"/>
        <v>6</v>
      </c>
      <c r="M11">
        <f t="shared" ca="1" si="1"/>
        <v>6</v>
      </c>
      <c r="N11">
        <v>80</v>
      </c>
      <c r="O11">
        <f t="shared" ca="1" si="2"/>
        <v>10</v>
      </c>
      <c r="P11">
        <f t="shared" ca="1" si="3"/>
        <v>90</v>
      </c>
      <c r="Q11">
        <f t="shared" ca="1" si="4"/>
        <v>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-7</v>
      </c>
      <c r="P12">
        <f t="shared" ca="1" si="3"/>
        <v>73</v>
      </c>
      <c r="Q12">
        <f t="shared" ca="1" si="4"/>
        <v>14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11</v>
      </c>
      <c r="P13">
        <f t="shared" ca="1" si="3"/>
        <v>91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-14</v>
      </c>
      <c r="P14">
        <f t="shared" ca="1" si="3"/>
        <v>66</v>
      </c>
      <c r="Q14">
        <f t="shared" ca="1" si="4"/>
        <v>19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13</v>
      </c>
      <c r="P15">
        <f t="shared" ca="1" si="3"/>
        <v>93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</v>
      </c>
      <c r="M16">
        <f t="shared" ca="1" si="1"/>
        <v>2</v>
      </c>
      <c r="N16">
        <v>80</v>
      </c>
      <c r="O16">
        <f t="shared" ca="1" si="2"/>
        <v>4</v>
      </c>
      <c r="P16">
        <f t="shared" ca="1" si="3"/>
        <v>84</v>
      </c>
      <c r="Q16">
        <f t="shared" ca="1" si="4"/>
        <v>9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-10</v>
      </c>
      <c r="P17">
        <f t="shared" ca="1" si="3"/>
        <v>70</v>
      </c>
      <c r="Q17">
        <f t="shared" ca="1" si="4"/>
        <v>18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-2</v>
      </c>
      <c r="P18">
        <f t="shared" ca="1" si="3"/>
        <v>78</v>
      </c>
      <c r="Q18">
        <f t="shared" ca="1" si="4"/>
        <v>11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15</v>
      </c>
      <c r="P19">
        <f t="shared" ca="1" si="3"/>
        <v>95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-6</v>
      </c>
      <c r="P20">
        <f t="shared" ca="1" si="3"/>
        <v>74</v>
      </c>
      <c r="Q20">
        <f t="shared" ca="1" si="4"/>
        <v>13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10</v>
      </c>
      <c r="M21">
        <f t="shared" ca="1" si="1"/>
        <v>10</v>
      </c>
      <c r="N21">
        <v>80</v>
      </c>
      <c r="O21">
        <f t="shared" ca="1" si="2"/>
        <v>11</v>
      </c>
      <c r="P21">
        <f t="shared" ca="1" si="3"/>
        <v>91</v>
      </c>
      <c r="Q21">
        <f t="shared" ca="1" si="4"/>
        <v>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-9</v>
      </c>
      <c r="P22">
        <f t="shared" ca="1" si="3"/>
        <v>71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-7</v>
      </c>
      <c r="P23">
        <f t="shared" ca="1" si="3"/>
        <v>73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oglio4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6</v>
      </c>
      <c r="M4">
        <f t="shared" ref="M4:M23" ca="1" si="1">SUM(C4:L4)</f>
        <v>6</v>
      </c>
      <c r="N4">
        <v>80</v>
      </c>
      <c r="O4">
        <f t="shared" ref="O4:O23" ca="1" si="2">RANDBETWEEN(-15,15)</f>
        <v>8</v>
      </c>
      <c r="P4">
        <f t="shared" ref="P4:P23" ca="1" si="3">N4+O4</f>
        <v>88</v>
      </c>
      <c r="Q4">
        <f t="shared" ref="Q4:Q23" ca="1" si="4">RANK(P4,$P$4:$P$23,0)</f>
        <v>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4</v>
      </c>
      <c r="M5">
        <f t="shared" ca="1" si="1"/>
        <v>4</v>
      </c>
      <c r="N5">
        <v>80</v>
      </c>
      <c r="O5">
        <f t="shared" ca="1" si="2"/>
        <v>4</v>
      </c>
      <c r="P5">
        <f t="shared" ca="1" si="3"/>
        <v>84</v>
      </c>
      <c r="Q5">
        <f t="shared" ca="1" si="4"/>
        <v>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12</v>
      </c>
      <c r="P6">
        <f t="shared" ca="1" si="3"/>
        <v>92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-13</v>
      </c>
      <c r="P7">
        <f t="shared" ca="1" si="3"/>
        <v>67</v>
      </c>
      <c r="Q7">
        <f t="shared" ca="1" si="4"/>
        <v>16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12</v>
      </c>
      <c r="M8">
        <f t="shared" ca="1" si="1"/>
        <v>12</v>
      </c>
      <c r="N8">
        <v>80</v>
      </c>
      <c r="O8" s="2">
        <f t="shared" ca="1" si="2"/>
        <v>10</v>
      </c>
      <c r="P8" s="2">
        <f t="shared" ca="1" si="3"/>
        <v>90</v>
      </c>
      <c r="Q8">
        <f t="shared" ca="1" si="4"/>
        <v>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</v>
      </c>
      <c r="M9">
        <f t="shared" ca="1" si="1"/>
        <v>1</v>
      </c>
      <c r="N9">
        <v>80</v>
      </c>
      <c r="O9">
        <f t="shared" ca="1" si="2"/>
        <v>-1</v>
      </c>
      <c r="P9">
        <f t="shared" ca="1" si="3"/>
        <v>79</v>
      </c>
      <c r="Q9">
        <f t="shared" ca="1" si="4"/>
        <v>10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9</v>
      </c>
      <c r="P10">
        <f t="shared" ca="1" si="3"/>
        <v>89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-7</v>
      </c>
      <c r="P11">
        <f t="shared" ca="1" si="3"/>
        <v>73</v>
      </c>
      <c r="Q11">
        <f t="shared" ca="1" si="4"/>
        <v>14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-13</v>
      </c>
      <c r="P12">
        <f t="shared" ca="1" si="3"/>
        <v>67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25</v>
      </c>
      <c r="M13">
        <f t="shared" ca="1" si="1"/>
        <v>25</v>
      </c>
      <c r="N13">
        <v>80</v>
      </c>
      <c r="O13">
        <f t="shared" ca="1" si="2"/>
        <v>15</v>
      </c>
      <c r="P13">
        <f t="shared" ca="1" si="3"/>
        <v>95</v>
      </c>
      <c r="Q13">
        <f t="shared" ca="1" si="4"/>
        <v>1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-13</v>
      </c>
      <c r="P15">
        <f t="shared" ca="1" si="3"/>
        <v>67</v>
      </c>
      <c r="Q15">
        <f t="shared" ca="1" si="4"/>
        <v>16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10</v>
      </c>
      <c r="M16">
        <f t="shared" ca="1" si="1"/>
        <v>10</v>
      </c>
      <c r="N16">
        <v>80</v>
      </c>
      <c r="O16">
        <f t="shared" ca="1" si="2"/>
        <v>9</v>
      </c>
      <c r="P16">
        <f t="shared" ca="1" si="3"/>
        <v>89</v>
      </c>
      <c r="Q16">
        <f t="shared" ca="1" si="4"/>
        <v>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-4</v>
      </c>
      <c r="P17">
        <f t="shared" ca="1" si="3"/>
        <v>76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15</v>
      </c>
      <c r="M18">
        <f t="shared" ca="1" si="1"/>
        <v>15</v>
      </c>
      <c r="N18">
        <v>80</v>
      </c>
      <c r="O18">
        <f t="shared" ca="1" si="2"/>
        <v>11</v>
      </c>
      <c r="P18">
        <f t="shared" ca="1" si="3"/>
        <v>91</v>
      </c>
      <c r="Q18">
        <f t="shared" ca="1" si="4"/>
        <v>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-2</v>
      </c>
      <c r="P19">
        <f t="shared" ca="1" si="3"/>
        <v>78</v>
      </c>
      <c r="Q19">
        <f t="shared" ca="1" si="4"/>
        <v>11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-6</v>
      </c>
      <c r="P20">
        <f t="shared" ca="1" si="3"/>
        <v>74</v>
      </c>
      <c r="Q20">
        <f t="shared" ca="1" si="4"/>
        <v>13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-14</v>
      </c>
      <c r="P21">
        <f t="shared" ca="1" si="3"/>
        <v>66</v>
      </c>
      <c r="Q21">
        <f t="shared" ca="1" si="4"/>
        <v>20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-13</v>
      </c>
      <c r="P22">
        <f t="shared" ca="1" si="3"/>
        <v>67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4</v>
      </c>
      <c r="M23">
        <f t="shared" ca="1" si="1"/>
        <v>4</v>
      </c>
      <c r="N23">
        <v>80</v>
      </c>
      <c r="O23">
        <f t="shared" ca="1" si="2"/>
        <v>4</v>
      </c>
      <c r="P23">
        <f t="shared" ca="1" si="3"/>
        <v>84</v>
      </c>
      <c r="Q23">
        <f t="shared" ca="1" si="4"/>
        <v>8</v>
      </c>
    </row>
  </sheetData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oglio5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-6</v>
      </c>
      <c r="P4">
        <f t="shared" ref="P4:P23" ca="1" si="3">N4+O4</f>
        <v>74</v>
      </c>
      <c r="Q4">
        <f t="shared" ref="Q4:Q23" ca="1" si="4">RANK(P4,$P$4:$P$23,0)</f>
        <v>12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2</v>
      </c>
      <c r="M5">
        <f t="shared" ca="1" si="1"/>
        <v>2</v>
      </c>
      <c r="N5">
        <v>80</v>
      </c>
      <c r="O5">
        <f t="shared" ca="1" si="2"/>
        <v>0</v>
      </c>
      <c r="P5">
        <f t="shared" ca="1" si="3"/>
        <v>80</v>
      </c>
      <c r="Q5">
        <f t="shared" ca="1" si="4"/>
        <v>9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1</v>
      </c>
      <c r="P6">
        <f t="shared" ca="1" si="3"/>
        <v>81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18</v>
      </c>
      <c r="M7">
        <f t="shared" ca="1" si="1"/>
        <v>18</v>
      </c>
      <c r="N7">
        <v>80</v>
      </c>
      <c r="O7" s="3">
        <f t="shared" ca="1" si="2"/>
        <v>10</v>
      </c>
      <c r="P7">
        <f t="shared" ca="1" si="3"/>
        <v>90</v>
      </c>
      <c r="Q7">
        <f t="shared" ca="1" si="4"/>
        <v>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-3</v>
      </c>
      <c r="P8" s="2">
        <f t="shared" ca="1" si="3"/>
        <v>77</v>
      </c>
      <c r="Q8">
        <f t="shared" ca="1" si="4"/>
        <v>11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15</v>
      </c>
      <c r="M9">
        <f t="shared" ca="1" si="1"/>
        <v>15</v>
      </c>
      <c r="N9">
        <v>80</v>
      </c>
      <c r="O9">
        <f t="shared" ca="1" si="2"/>
        <v>7</v>
      </c>
      <c r="P9">
        <f t="shared" ca="1" si="3"/>
        <v>87</v>
      </c>
      <c r="Q9">
        <f t="shared" ca="1" si="4"/>
        <v>3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-7</v>
      </c>
      <c r="P10">
        <f t="shared" ca="1" si="3"/>
        <v>73</v>
      </c>
      <c r="Q10">
        <f t="shared" ca="1" si="4"/>
        <v>13</v>
      </c>
    </row>
    <row r="11" spans="1:20" x14ac:dyDescent="0.25">
      <c r="A11" t="s">
        <v>41</v>
      </c>
      <c r="B11" t="s">
        <v>31</v>
      </c>
      <c r="C11">
        <f t="shared" ca="1" si="0"/>
        <v>10</v>
      </c>
      <c r="M11">
        <f t="shared" ca="1" si="1"/>
        <v>10</v>
      </c>
      <c r="N11">
        <v>80</v>
      </c>
      <c r="O11">
        <f t="shared" ca="1" si="2"/>
        <v>2</v>
      </c>
      <c r="P11">
        <f t="shared" ca="1" si="3"/>
        <v>82</v>
      </c>
      <c r="Q11">
        <f t="shared" ca="1" si="4"/>
        <v>5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6</v>
      </c>
      <c r="M12">
        <f t="shared" ca="1" si="1"/>
        <v>6</v>
      </c>
      <c r="N12">
        <v>80</v>
      </c>
      <c r="O12">
        <f t="shared" ca="1" si="2"/>
        <v>1</v>
      </c>
      <c r="P12">
        <f t="shared" ca="1" si="3"/>
        <v>81</v>
      </c>
      <c r="Q12">
        <f t="shared" ca="1" si="4"/>
        <v>7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-13</v>
      </c>
      <c r="P13">
        <f t="shared" ca="1" si="3"/>
        <v>67</v>
      </c>
      <c r="Q13">
        <f t="shared" ca="1" si="4"/>
        <v>18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-10</v>
      </c>
      <c r="P14">
        <f t="shared" ca="1" si="3"/>
        <v>70</v>
      </c>
      <c r="Q14">
        <f t="shared" ca="1" si="4"/>
        <v>15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25</v>
      </c>
      <c r="M15">
        <f t="shared" ca="1" si="1"/>
        <v>25</v>
      </c>
      <c r="N15">
        <v>80</v>
      </c>
      <c r="O15">
        <f t="shared" ca="1" si="2"/>
        <v>15</v>
      </c>
      <c r="P15">
        <f t="shared" ca="1" si="3"/>
        <v>95</v>
      </c>
      <c r="Q15">
        <f t="shared" ca="1" si="4"/>
        <v>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-12</v>
      </c>
      <c r="P16">
        <f t="shared" ca="1" si="3"/>
        <v>68</v>
      </c>
      <c r="Q16">
        <f t="shared" ca="1" si="4"/>
        <v>16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-12</v>
      </c>
      <c r="P17">
        <f t="shared" ca="1" si="3"/>
        <v>68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</v>
      </c>
      <c r="M18">
        <f t="shared" ca="1" si="1"/>
        <v>1</v>
      </c>
      <c r="N18">
        <v>80</v>
      </c>
      <c r="O18">
        <f t="shared" ca="1" si="2"/>
        <v>-1</v>
      </c>
      <c r="P18">
        <f t="shared" ca="1" si="3"/>
        <v>79</v>
      </c>
      <c r="Q18">
        <f t="shared" ca="1" si="4"/>
        <v>10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12</v>
      </c>
      <c r="M19">
        <f t="shared" ca="1" si="1"/>
        <v>12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-15</v>
      </c>
      <c r="P20">
        <f t="shared" ca="1" si="3"/>
        <v>65</v>
      </c>
      <c r="Q20">
        <f t="shared" ca="1" si="4"/>
        <v>19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-15</v>
      </c>
      <c r="P21">
        <f t="shared" ca="1" si="3"/>
        <v>65</v>
      </c>
      <c r="Q21">
        <f t="shared" ca="1" si="4"/>
        <v>19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10</v>
      </c>
      <c r="M22">
        <f t="shared" ca="1" si="1"/>
        <v>10</v>
      </c>
      <c r="N22">
        <v>80</v>
      </c>
      <c r="O22">
        <f t="shared" ca="1" si="2"/>
        <v>2</v>
      </c>
      <c r="P22">
        <f t="shared" ca="1" si="3"/>
        <v>82</v>
      </c>
      <c r="Q22">
        <f t="shared" ca="1" si="4"/>
        <v>5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-8</v>
      </c>
      <c r="P23">
        <f t="shared" ca="1" si="3"/>
        <v>72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oglio5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-14</v>
      </c>
      <c r="P4">
        <f t="shared" ref="P4:P23" ca="1" si="3">N4+O4</f>
        <v>66</v>
      </c>
      <c r="Q4">
        <f t="shared" ref="Q4:Q23" ca="1" si="4">RANK(P4,$P$4:$P$23,0)</f>
        <v>18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-14</v>
      </c>
      <c r="P5">
        <f t="shared" ca="1" si="3"/>
        <v>66</v>
      </c>
      <c r="Q5">
        <f t="shared" ca="1" si="4"/>
        <v>18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0</v>
      </c>
      <c r="P6">
        <f t="shared" ca="1" si="3"/>
        <v>80</v>
      </c>
      <c r="Q6">
        <f t="shared" ca="1" si="4"/>
        <v>12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0</v>
      </c>
      <c r="P7">
        <f t="shared" ca="1" si="3"/>
        <v>80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0</v>
      </c>
      <c r="P8" s="2">
        <f t="shared" ca="1" si="3"/>
        <v>80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-14</v>
      </c>
      <c r="P9">
        <f t="shared" ca="1" si="3"/>
        <v>66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8</v>
      </c>
      <c r="M10">
        <f t="shared" ca="1" si="1"/>
        <v>8</v>
      </c>
      <c r="N10">
        <v>80</v>
      </c>
      <c r="O10">
        <f t="shared" ca="1" si="2"/>
        <v>4</v>
      </c>
      <c r="P10">
        <f t="shared" ca="1" si="3"/>
        <v>84</v>
      </c>
      <c r="Q10">
        <f t="shared" ca="1" si="4"/>
        <v>6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5</v>
      </c>
      <c r="P11">
        <f t="shared" ca="1" si="3"/>
        <v>85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-6</v>
      </c>
      <c r="P12">
        <f t="shared" ca="1" si="3"/>
        <v>74</v>
      </c>
      <c r="Q12">
        <f t="shared" ca="1" si="4"/>
        <v>17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6</v>
      </c>
      <c r="M13">
        <f t="shared" ca="1" si="1"/>
        <v>6</v>
      </c>
      <c r="N13">
        <v>80</v>
      </c>
      <c r="O13">
        <f t="shared" ca="1" si="2"/>
        <v>2</v>
      </c>
      <c r="P13">
        <f t="shared" ca="1" si="3"/>
        <v>82</v>
      </c>
      <c r="Q13">
        <f t="shared" ca="1" si="4"/>
        <v>7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12</v>
      </c>
      <c r="M15">
        <f t="shared" ca="1" si="1"/>
        <v>12</v>
      </c>
      <c r="N15">
        <v>80</v>
      </c>
      <c r="O15">
        <f t="shared" ca="1" si="2"/>
        <v>5</v>
      </c>
      <c r="P15">
        <f t="shared" ca="1" si="3"/>
        <v>85</v>
      </c>
      <c r="Q15">
        <f t="shared" ca="1" si="4"/>
        <v>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</v>
      </c>
      <c r="M16">
        <f t="shared" ca="1" si="1"/>
        <v>1</v>
      </c>
      <c r="N16">
        <v>80</v>
      </c>
      <c r="O16">
        <f t="shared" ca="1" si="2"/>
        <v>1</v>
      </c>
      <c r="P16">
        <f t="shared" ca="1" si="3"/>
        <v>81</v>
      </c>
      <c r="Q16">
        <f t="shared" ca="1" si="4"/>
        <v>10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6</v>
      </c>
      <c r="M17">
        <f t="shared" ca="1" si="1"/>
        <v>6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7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6</v>
      </c>
      <c r="M18">
        <f t="shared" ca="1" si="1"/>
        <v>6</v>
      </c>
      <c r="N18">
        <v>80</v>
      </c>
      <c r="O18">
        <f t="shared" ca="1" si="2"/>
        <v>2</v>
      </c>
      <c r="P18">
        <f t="shared" ca="1" si="3"/>
        <v>82</v>
      </c>
      <c r="Q18">
        <f t="shared" ca="1" si="4"/>
        <v>7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13</v>
      </c>
      <c r="P19">
        <f t="shared" ca="1" si="3"/>
        <v>93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</v>
      </c>
      <c r="M20">
        <f t="shared" ca="1" si="1"/>
        <v>1</v>
      </c>
      <c r="N20">
        <v>80</v>
      </c>
      <c r="O20">
        <f t="shared" ca="1" si="2"/>
        <v>1</v>
      </c>
      <c r="P20">
        <f t="shared" ca="1" si="3"/>
        <v>81</v>
      </c>
      <c r="Q20">
        <f t="shared" ca="1" si="4"/>
        <v>10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</v>
      </c>
      <c r="P21">
        <f t="shared" ca="1" si="3"/>
        <v>79</v>
      </c>
      <c r="Q21">
        <f t="shared" ca="1" si="4"/>
        <v>15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15</v>
      </c>
      <c r="M22">
        <f t="shared" ca="1" si="1"/>
        <v>15</v>
      </c>
      <c r="N22">
        <v>80</v>
      </c>
      <c r="O22">
        <f t="shared" ca="1" si="2"/>
        <v>8</v>
      </c>
      <c r="P22">
        <f t="shared" ca="1" si="3"/>
        <v>88</v>
      </c>
      <c r="Q22">
        <f t="shared" ca="1" si="4"/>
        <v>3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-3</v>
      </c>
      <c r="P23">
        <f t="shared" ca="1" si="3"/>
        <v>77</v>
      </c>
      <c r="Q23">
        <f t="shared" ca="1" si="4"/>
        <v>16</v>
      </c>
    </row>
  </sheetData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oglio5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</v>
      </c>
      <c r="M4">
        <f t="shared" ref="M4:M23" ca="1" si="1">SUM(C4:L4)</f>
        <v>1</v>
      </c>
      <c r="N4">
        <v>80</v>
      </c>
      <c r="O4">
        <f t="shared" ref="O4:O23" ca="1" si="2">RANDBETWEEN(-15,15)</f>
        <v>-2</v>
      </c>
      <c r="P4">
        <f t="shared" ref="P4:P23" ca="1" si="3">N4+O4</f>
        <v>78</v>
      </c>
      <c r="Q4">
        <f t="shared" ref="Q4:Q23" ca="1" si="4">RANK(P4,$P$4:$P$23,0)</f>
        <v>10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-5</v>
      </c>
      <c r="P5">
        <f t="shared" ca="1" si="3"/>
        <v>75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</v>
      </c>
      <c r="M6">
        <f t="shared" ca="1" si="1"/>
        <v>1</v>
      </c>
      <c r="N6">
        <v>80</v>
      </c>
      <c r="O6">
        <f t="shared" ca="1" si="2"/>
        <v>-2</v>
      </c>
      <c r="P6">
        <f t="shared" ca="1" si="3"/>
        <v>78</v>
      </c>
      <c r="Q6">
        <f t="shared" ca="1" si="4"/>
        <v>10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11</v>
      </c>
      <c r="P7">
        <f t="shared" ca="1" si="3"/>
        <v>91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-15</v>
      </c>
      <c r="P8" s="2">
        <f t="shared" ca="1" si="3"/>
        <v>65</v>
      </c>
      <c r="Q8">
        <f t="shared" ca="1" si="4"/>
        <v>18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-14</v>
      </c>
      <c r="P9">
        <f t="shared" ca="1" si="3"/>
        <v>66</v>
      </c>
      <c r="Q9">
        <f t="shared" ca="1" si="4"/>
        <v>17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-5</v>
      </c>
      <c r="P10">
        <f t="shared" ca="1" si="3"/>
        <v>75</v>
      </c>
      <c r="Q10">
        <f t="shared" ca="1" si="4"/>
        <v>12</v>
      </c>
    </row>
    <row r="11" spans="1:20" x14ac:dyDescent="0.25">
      <c r="A11" t="s">
        <v>41</v>
      </c>
      <c r="B11" t="s">
        <v>31</v>
      </c>
      <c r="C11">
        <f t="shared" ca="1" si="0"/>
        <v>2</v>
      </c>
      <c r="M11">
        <f t="shared" ca="1" si="1"/>
        <v>2</v>
      </c>
      <c r="N11">
        <v>80</v>
      </c>
      <c r="O11">
        <f t="shared" ca="1" si="2"/>
        <v>0</v>
      </c>
      <c r="P11">
        <f t="shared" ca="1" si="3"/>
        <v>80</v>
      </c>
      <c r="Q11">
        <f t="shared" ca="1" si="4"/>
        <v>9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6</v>
      </c>
      <c r="M12">
        <f t="shared" ca="1" si="1"/>
        <v>6</v>
      </c>
      <c r="N12">
        <v>80</v>
      </c>
      <c r="O12">
        <f t="shared" ca="1" si="2"/>
        <v>9</v>
      </c>
      <c r="P12">
        <f t="shared" ca="1" si="3"/>
        <v>89</v>
      </c>
      <c r="Q12">
        <f t="shared" ca="1" si="4"/>
        <v>7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12</v>
      </c>
      <c r="M13">
        <f t="shared" ca="1" si="1"/>
        <v>12</v>
      </c>
      <c r="N13">
        <v>80</v>
      </c>
      <c r="O13">
        <f t="shared" ca="1" si="2"/>
        <v>13</v>
      </c>
      <c r="P13">
        <f t="shared" ca="1" si="3"/>
        <v>93</v>
      </c>
      <c r="Q13">
        <f t="shared" ca="1" si="4"/>
        <v>4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15</v>
      </c>
      <c r="P14">
        <f t="shared" ca="1" si="3"/>
        <v>95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12</v>
      </c>
      <c r="M15">
        <f t="shared" ca="1" si="1"/>
        <v>12</v>
      </c>
      <c r="N15">
        <v>80</v>
      </c>
      <c r="O15">
        <f t="shared" ca="1" si="2"/>
        <v>13</v>
      </c>
      <c r="P15">
        <f t="shared" ca="1" si="3"/>
        <v>93</v>
      </c>
      <c r="Q15">
        <f t="shared" ca="1" si="4"/>
        <v>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-15</v>
      </c>
      <c r="P17">
        <f t="shared" ca="1" si="3"/>
        <v>65</v>
      </c>
      <c r="Q17">
        <f t="shared" ca="1" si="4"/>
        <v>18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4</v>
      </c>
      <c r="M18">
        <f t="shared" ca="1" si="1"/>
        <v>4</v>
      </c>
      <c r="N18">
        <v>80</v>
      </c>
      <c r="O18">
        <f t="shared" ca="1" si="2"/>
        <v>5</v>
      </c>
      <c r="P18">
        <f t="shared" ca="1" si="3"/>
        <v>85</v>
      </c>
      <c r="Q18">
        <f t="shared" ca="1" si="4"/>
        <v>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-13</v>
      </c>
      <c r="P19">
        <f t="shared" ca="1" si="3"/>
        <v>67</v>
      </c>
      <c r="Q19">
        <f t="shared" ca="1" si="4"/>
        <v>16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-15</v>
      </c>
      <c r="P20">
        <f t="shared" ca="1" si="3"/>
        <v>65</v>
      </c>
      <c r="Q20">
        <f t="shared" ca="1" si="4"/>
        <v>18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-11</v>
      </c>
      <c r="P21">
        <f t="shared" ca="1" si="3"/>
        <v>69</v>
      </c>
      <c r="Q21">
        <f t="shared" ca="1" si="4"/>
        <v>15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15</v>
      </c>
      <c r="M22">
        <f t="shared" ca="1" si="1"/>
        <v>15</v>
      </c>
      <c r="N22">
        <v>80</v>
      </c>
      <c r="O22">
        <f t="shared" ca="1" si="2"/>
        <v>14</v>
      </c>
      <c r="P22">
        <f t="shared" ca="1" si="3"/>
        <v>94</v>
      </c>
      <c r="Q22">
        <f t="shared" ca="1" si="4"/>
        <v>3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-10</v>
      </c>
      <c r="P23">
        <f t="shared" ca="1" si="3"/>
        <v>70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oglio5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18</v>
      </c>
      <c r="M4">
        <f t="shared" ref="M4:M23" ca="1" si="1">SUM(C4:L4)</f>
        <v>18</v>
      </c>
      <c r="N4">
        <v>80</v>
      </c>
      <c r="O4">
        <f t="shared" ref="O4:O23" ca="1" si="2">RANDBETWEEN(-15,15)</f>
        <v>12</v>
      </c>
      <c r="P4">
        <f t="shared" ref="P4:P23" ca="1" si="3">N4+O4</f>
        <v>92</v>
      </c>
      <c r="Q4">
        <f t="shared" ref="Q4:Q23" ca="1" si="4">RANK(P4,$P$4:$P$23,0)</f>
        <v>2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-14</v>
      </c>
      <c r="P5">
        <f t="shared" ca="1" si="3"/>
        <v>66</v>
      </c>
      <c r="Q5">
        <f t="shared" ca="1" si="4"/>
        <v>18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-9</v>
      </c>
      <c r="P6">
        <f t="shared" ca="1" si="3"/>
        <v>71</v>
      </c>
      <c r="Q6">
        <f t="shared" ca="1" si="4"/>
        <v>14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10</v>
      </c>
      <c r="M7">
        <f t="shared" ca="1" si="1"/>
        <v>10</v>
      </c>
      <c r="N7">
        <v>80</v>
      </c>
      <c r="O7" s="3">
        <f t="shared" ca="1" si="2"/>
        <v>8</v>
      </c>
      <c r="P7">
        <f t="shared" ca="1" si="3"/>
        <v>88</v>
      </c>
      <c r="Q7">
        <f t="shared" ca="1" si="4"/>
        <v>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8</v>
      </c>
      <c r="M8">
        <f t="shared" ca="1" si="1"/>
        <v>8</v>
      </c>
      <c r="N8">
        <v>80</v>
      </c>
      <c r="O8" s="2">
        <f t="shared" ca="1" si="2"/>
        <v>3</v>
      </c>
      <c r="P8" s="2">
        <f t="shared" ca="1" si="3"/>
        <v>83</v>
      </c>
      <c r="Q8">
        <f t="shared" ca="1" si="4"/>
        <v>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12</v>
      </c>
      <c r="M9">
        <f t="shared" ca="1" si="1"/>
        <v>12</v>
      </c>
      <c r="N9">
        <v>80</v>
      </c>
      <c r="O9">
        <f t="shared" ca="1" si="2"/>
        <v>9</v>
      </c>
      <c r="P9">
        <f t="shared" ca="1" si="3"/>
        <v>89</v>
      </c>
      <c r="Q9">
        <f t="shared" ca="1" si="4"/>
        <v>4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-14</v>
      </c>
      <c r="P10">
        <f t="shared" ca="1" si="3"/>
        <v>66</v>
      </c>
      <c r="Q10">
        <f t="shared" ca="1" si="4"/>
        <v>18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11</v>
      </c>
      <c r="P11">
        <f t="shared" ca="1" si="3"/>
        <v>91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-5</v>
      </c>
      <c r="P12">
        <f t="shared" ca="1" si="3"/>
        <v>75</v>
      </c>
      <c r="Q12">
        <f t="shared" ca="1" si="4"/>
        <v>11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-12</v>
      </c>
      <c r="P13">
        <f t="shared" ca="1" si="3"/>
        <v>68</v>
      </c>
      <c r="Q13">
        <f t="shared" ca="1" si="4"/>
        <v>16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-15</v>
      </c>
      <c r="P14">
        <f t="shared" ca="1" si="3"/>
        <v>65</v>
      </c>
      <c r="Q14">
        <f t="shared" ca="1" si="4"/>
        <v>20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-12</v>
      </c>
      <c r="P15">
        <f t="shared" ca="1" si="3"/>
        <v>68</v>
      </c>
      <c r="Q15">
        <f t="shared" ca="1" si="4"/>
        <v>16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-10</v>
      </c>
      <c r="P16">
        <f t="shared" ca="1" si="3"/>
        <v>70</v>
      </c>
      <c r="Q16">
        <f t="shared" ca="1" si="4"/>
        <v>15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25</v>
      </c>
      <c r="M17">
        <f t="shared" ca="1" si="1"/>
        <v>25</v>
      </c>
      <c r="N17">
        <v>80</v>
      </c>
      <c r="O17">
        <f t="shared" ca="1" si="2"/>
        <v>15</v>
      </c>
      <c r="P17">
        <f t="shared" ca="1" si="3"/>
        <v>95</v>
      </c>
      <c r="Q17">
        <f t="shared" ca="1" si="4"/>
        <v>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8</v>
      </c>
      <c r="M18">
        <f t="shared" ca="1" si="1"/>
        <v>8</v>
      </c>
      <c r="N18">
        <v>80</v>
      </c>
      <c r="O18">
        <f t="shared" ca="1" si="2"/>
        <v>3</v>
      </c>
      <c r="P18">
        <f t="shared" ca="1" si="3"/>
        <v>83</v>
      </c>
      <c r="Q18">
        <f t="shared" ca="1" si="4"/>
        <v>6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</v>
      </c>
      <c r="M19">
        <f t="shared" ca="1" si="1"/>
        <v>2</v>
      </c>
      <c r="N19">
        <v>80</v>
      </c>
      <c r="O19">
        <f t="shared" ca="1" si="2"/>
        <v>0</v>
      </c>
      <c r="P19">
        <f t="shared" ca="1" si="3"/>
        <v>80</v>
      </c>
      <c r="Q19">
        <f t="shared" ca="1" si="4"/>
        <v>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</v>
      </c>
      <c r="M20">
        <f t="shared" ca="1" si="1"/>
        <v>1</v>
      </c>
      <c r="N20">
        <v>80</v>
      </c>
      <c r="O20">
        <f t="shared" ca="1" si="2"/>
        <v>-3</v>
      </c>
      <c r="P20">
        <f t="shared" ca="1" si="3"/>
        <v>77</v>
      </c>
      <c r="Q20">
        <f t="shared" ca="1" si="4"/>
        <v>10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4</v>
      </c>
      <c r="M21">
        <f t="shared" ca="1" si="1"/>
        <v>4</v>
      </c>
      <c r="N21">
        <v>80</v>
      </c>
      <c r="O21">
        <f t="shared" ca="1" si="2"/>
        <v>1</v>
      </c>
      <c r="P21">
        <f t="shared" ca="1" si="3"/>
        <v>81</v>
      </c>
      <c r="Q21">
        <f t="shared" ca="1" si="4"/>
        <v>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-7</v>
      </c>
      <c r="P22">
        <f t="shared" ca="1" si="3"/>
        <v>73</v>
      </c>
      <c r="Q22">
        <f t="shared" ca="1" si="4"/>
        <v>13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-5</v>
      </c>
      <c r="P23">
        <f t="shared" ca="1" si="3"/>
        <v>75</v>
      </c>
      <c r="Q23">
        <f t="shared" ca="1" si="4"/>
        <v>11</v>
      </c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oglio54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106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8</v>
      </c>
      <c r="M4">
        <f t="shared" ref="M4:M23" ca="1" si="1">SUM(C4:L4)</f>
        <v>8</v>
      </c>
      <c r="N4">
        <v>80</v>
      </c>
      <c r="O4">
        <f t="shared" ref="O4:O23" ca="1" si="2">RANDBETWEEN(-15,15)</f>
        <v>3</v>
      </c>
      <c r="P4">
        <f t="shared" ref="P4:P23" ca="1" si="3">N4+O4</f>
        <v>83</v>
      </c>
      <c r="Q4">
        <f t="shared" ref="Q4:Q23" ca="1" si="4">RANK(P4,$P$4:$P$23,0)</f>
        <v>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-8</v>
      </c>
      <c r="P5">
        <f t="shared" ca="1" si="3"/>
        <v>72</v>
      </c>
      <c r="Q5">
        <f t="shared" ca="1" si="4"/>
        <v>16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2</v>
      </c>
      <c r="M6">
        <f t="shared" ca="1" si="1"/>
        <v>2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9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-3</v>
      </c>
      <c r="P7">
        <f t="shared" ca="1" si="3"/>
        <v>77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10</v>
      </c>
      <c r="M8">
        <f t="shared" ca="1" si="1"/>
        <v>10</v>
      </c>
      <c r="N8">
        <v>80</v>
      </c>
      <c r="O8" s="2">
        <f t="shared" ca="1" si="2"/>
        <v>4</v>
      </c>
      <c r="P8" s="2">
        <f t="shared" ca="1" si="3"/>
        <v>84</v>
      </c>
      <c r="Q8">
        <f t="shared" ca="1" si="4"/>
        <v>5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-9</v>
      </c>
      <c r="P9">
        <f t="shared" ca="1" si="3"/>
        <v>71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25</v>
      </c>
      <c r="M10">
        <f t="shared" ca="1" si="1"/>
        <v>25</v>
      </c>
      <c r="N10">
        <v>80</v>
      </c>
      <c r="O10">
        <f t="shared" ca="1" si="2"/>
        <v>9</v>
      </c>
      <c r="P10">
        <f t="shared" ca="1" si="3"/>
        <v>89</v>
      </c>
      <c r="Q10">
        <f t="shared" ca="1" si="4"/>
        <v>1</v>
      </c>
    </row>
    <row r="11" spans="1:20" x14ac:dyDescent="0.25">
      <c r="A11" t="s">
        <v>41</v>
      </c>
      <c r="B11" t="s">
        <v>31</v>
      </c>
      <c r="C11">
        <f t="shared" ca="1" si="0"/>
        <v>25</v>
      </c>
      <c r="M11">
        <f t="shared" ca="1" si="1"/>
        <v>25</v>
      </c>
      <c r="N11">
        <v>80</v>
      </c>
      <c r="O11">
        <f t="shared" ca="1" si="2"/>
        <v>9</v>
      </c>
      <c r="P11">
        <f t="shared" ca="1" si="3"/>
        <v>89</v>
      </c>
      <c r="Q11">
        <f t="shared" ca="1" si="4"/>
        <v>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-8</v>
      </c>
      <c r="P12">
        <f t="shared" ca="1" si="3"/>
        <v>72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-10</v>
      </c>
      <c r="P13">
        <f t="shared" ca="1" si="3"/>
        <v>70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12</v>
      </c>
      <c r="M14">
        <f t="shared" ca="1" si="1"/>
        <v>12</v>
      </c>
      <c r="N14">
        <v>80</v>
      </c>
      <c r="O14">
        <f t="shared" ca="1" si="2"/>
        <v>6</v>
      </c>
      <c r="P14">
        <f t="shared" ca="1" si="3"/>
        <v>86</v>
      </c>
      <c r="Q14">
        <f t="shared" ca="1" si="4"/>
        <v>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-3</v>
      </c>
      <c r="P15">
        <f t="shared" ca="1" si="3"/>
        <v>77</v>
      </c>
      <c r="Q15">
        <f t="shared" ca="1" si="4"/>
        <v>12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-12</v>
      </c>
      <c r="P16">
        <f t="shared" ca="1" si="3"/>
        <v>68</v>
      </c>
      <c r="Q16">
        <f t="shared" ca="1" si="4"/>
        <v>20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</v>
      </c>
      <c r="M17">
        <f t="shared" ca="1" si="1"/>
        <v>2</v>
      </c>
      <c r="N17">
        <v>80</v>
      </c>
      <c r="O17">
        <f t="shared" ca="1" si="2"/>
        <v>2</v>
      </c>
      <c r="P17">
        <f t="shared" ca="1" si="3"/>
        <v>82</v>
      </c>
      <c r="Q17">
        <f t="shared" ca="1" si="4"/>
        <v>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-3</v>
      </c>
      <c r="P18">
        <f t="shared" ca="1" si="3"/>
        <v>77</v>
      </c>
      <c r="Q18">
        <f t="shared" ca="1" si="4"/>
        <v>12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</v>
      </c>
      <c r="P19">
        <f t="shared" ca="1" si="3"/>
        <v>79</v>
      </c>
      <c r="Q19">
        <f t="shared" ca="1" si="4"/>
        <v>11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15</v>
      </c>
      <c r="M20">
        <f t="shared" ca="1" si="1"/>
        <v>15</v>
      </c>
      <c r="N20">
        <v>80</v>
      </c>
      <c r="O20">
        <f t="shared" ca="1" si="2"/>
        <v>8</v>
      </c>
      <c r="P20">
        <f t="shared" ca="1" si="3"/>
        <v>88</v>
      </c>
      <c r="Q20">
        <f t="shared" ca="1" si="4"/>
        <v>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8</v>
      </c>
      <c r="M21">
        <f t="shared" ca="1" si="1"/>
        <v>8</v>
      </c>
      <c r="N21">
        <v>80</v>
      </c>
      <c r="O21">
        <f t="shared" ca="1" si="2"/>
        <v>3</v>
      </c>
      <c r="P21">
        <f t="shared" ca="1" si="3"/>
        <v>83</v>
      </c>
      <c r="Q21">
        <f t="shared" ca="1" si="4"/>
        <v>6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8</v>
      </c>
      <c r="M22">
        <f t="shared" ca="1" si="1"/>
        <v>8</v>
      </c>
      <c r="N22">
        <v>80</v>
      </c>
      <c r="O22">
        <f t="shared" ca="1" si="2"/>
        <v>3</v>
      </c>
      <c r="P22">
        <f t="shared" ca="1" si="3"/>
        <v>83</v>
      </c>
      <c r="Q22">
        <f t="shared" ca="1" si="4"/>
        <v>6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-3</v>
      </c>
      <c r="P23">
        <f t="shared" ca="1" si="3"/>
        <v>77</v>
      </c>
      <c r="Q23">
        <f t="shared" ca="1" si="4"/>
        <v>12</v>
      </c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oglio5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-3</v>
      </c>
      <c r="P4">
        <f t="shared" ref="P4:P23" ca="1" si="3">N4+O4</f>
        <v>77</v>
      </c>
      <c r="Q4">
        <f t="shared" ref="Q4:Q23" ca="1" si="4">RANK(P4,$P$4:$P$23,0)</f>
        <v>13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1</v>
      </c>
      <c r="P5">
        <f t="shared" ca="1" si="3"/>
        <v>81</v>
      </c>
      <c r="Q5">
        <f t="shared" ca="1" si="4"/>
        <v>11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-9</v>
      </c>
      <c r="P6">
        <f t="shared" ca="1" si="3"/>
        <v>71</v>
      </c>
      <c r="Q6">
        <f t="shared" ca="1" si="4"/>
        <v>18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0</v>
      </c>
      <c r="P7">
        <f t="shared" ca="1" si="3"/>
        <v>80</v>
      </c>
      <c r="Q7">
        <f t="shared" ca="1" si="4"/>
        <v>12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18</v>
      </c>
      <c r="M8">
        <f t="shared" ca="1" si="1"/>
        <v>18</v>
      </c>
      <c r="N8">
        <v>80</v>
      </c>
      <c r="O8" s="2">
        <f t="shared" ca="1" si="2"/>
        <v>14</v>
      </c>
      <c r="P8" s="2">
        <f t="shared" ca="1" si="3"/>
        <v>94</v>
      </c>
      <c r="Q8">
        <f t="shared" ca="1" si="4"/>
        <v>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8</v>
      </c>
      <c r="M9">
        <f t="shared" ca="1" si="1"/>
        <v>8</v>
      </c>
      <c r="N9">
        <v>80</v>
      </c>
      <c r="O9">
        <f t="shared" ca="1" si="2"/>
        <v>7</v>
      </c>
      <c r="P9">
        <f t="shared" ca="1" si="3"/>
        <v>87</v>
      </c>
      <c r="Q9">
        <f t="shared" ca="1" si="4"/>
        <v>6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-3</v>
      </c>
      <c r="P10">
        <f t="shared" ca="1" si="3"/>
        <v>77</v>
      </c>
      <c r="Q10">
        <f t="shared" ca="1" si="4"/>
        <v>13</v>
      </c>
    </row>
    <row r="11" spans="1:20" x14ac:dyDescent="0.25">
      <c r="A11" t="s">
        <v>41</v>
      </c>
      <c r="B11" t="s">
        <v>31</v>
      </c>
      <c r="C11">
        <f t="shared" ca="1" si="0"/>
        <v>4</v>
      </c>
      <c r="M11">
        <f t="shared" ca="1" si="1"/>
        <v>4</v>
      </c>
      <c r="N11">
        <v>80</v>
      </c>
      <c r="O11">
        <f t="shared" ca="1" si="2"/>
        <v>2</v>
      </c>
      <c r="P11">
        <f t="shared" ca="1" si="3"/>
        <v>82</v>
      </c>
      <c r="Q11">
        <f t="shared" ca="1" si="4"/>
        <v>8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15</v>
      </c>
      <c r="P12">
        <f t="shared" ca="1" si="3"/>
        <v>95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-4</v>
      </c>
      <c r="P13">
        <f t="shared" ca="1" si="3"/>
        <v>76</v>
      </c>
      <c r="Q13">
        <f t="shared" ca="1" si="4"/>
        <v>15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-5</v>
      </c>
      <c r="P14">
        <f t="shared" ca="1" si="3"/>
        <v>75</v>
      </c>
      <c r="Q14">
        <f t="shared" ca="1" si="4"/>
        <v>16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15</v>
      </c>
      <c r="M15">
        <f t="shared" ca="1" si="1"/>
        <v>15</v>
      </c>
      <c r="N15">
        <v>80</v>
      </c>
      <c r="O15">
        <f t="shared" ca="1" si="2"/>
        <v>10</v>
      </c>
      <c r="P15">
        <f t="shared" ca="1" si="3"/>
        <v>90</v>
      </c>
      <c r="Q15">
        <f t="shared" ca="1" si="4"/>
        <v>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15</v>
      </c>
      <c r="M16">
        <f t="shared" ca="1" si="1"/>
        <v>15</v>
      </c>
      <c r="N16">
        <v>80</v>
      </c>
      <c r="O16">
        <f t="shared" ca="1" si="2"/>
        <v>10</v>
      </c>
      <c r="P16">
        <f t="shared" ca="1" si="3"/>
        <v>90</v>
      </c>
      <c r="Q16">
        <f t="shared" ca="1" si="4"/>
        <v>3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-10</v>
      </c>
      <c r="P17">
        <f t="shared" ca="1" si="3"/>
        <v>70</v>
      </c>
      <c r="Q17">
        <f t="shared" ca="1" si="4"/>
        <v>19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4</v>
      </c>
      <c r="M18">
        <f t="shared" ca="1" si="1"/>
        <v>4</v>
      </c>
      <c r="N18">
        <v>80</v>
      </c>
      <c r="O18">
        <f t="shared" ca="1" si="2"/>
        <v>2</v>
      </c>
      <c r="P18">
        <f t="shared" ca="1" si="3"/>
        <v>82</v>
      </c>
      <c r="Q18">
        <f t="shared" ca="1" si="4"/>
        <v>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6</v>
      </c>
      <c r="M19">
        <f t="shared" ca="1" si="1"/>
        <v>6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7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4</v>
      </c>
      <c r="M20">
        <f t="shared" ca="1" si="1"/>
        <v>4</v>
      </c>
      <c r="N20">
        <v>80</v>
      </c>
      <c r="O20">
        <f t="shared" ca="1" si="2"/>
        <v>2</v>
      </c>
      <c r="P20">
        <f t="shared" ca="1" si="3"/>
        <v>82</v>
      </c>
      <c r="Q20">
        <f t="shared" ca="1" si="4"/>
        <v>8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-11</v>
      </c>
      <c r="P21">
        <f t="shared" ca="1" si="3"/>
        <v>69</v>
      </c>
      <c r="Q21">
        <f t="shared" ca="1" si="4"/>
        <v>20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-6</v>
      </c>
      <c r="P22">
        <f t="shared" ca="1" si="3"/>
        <v>74</v>
      </c>
      <c r="Q22">
        <f t="shared" ca="1" si="4"/>
        <v>17</v>
      </c>
    </row>
    <row r="23" spans="1:20" x14ac:dyDescent="0.25">
      <c r="A23" t="s">
        <v>54</v>
      </c>
      <c r="B23" t="s">
        <v>37</v>
      </c>
      <c r="C23">
        <f t="shared" ca="1" si="0"/>
        <v>10</v>
      </c>
      <c r="M23">
        <f t="shared" ca="1" si="1"/>
        <v>10</v>
      </c>
      <c r="N23">
        <v>80</v>
      </c>
      <c r="O23">
        <f t="shared" ca="1" si="2"/>
        <v>9</v>
      </c>
      <c r="P23">
        <f t="shared" ca="1" si="3"/>
        <v>89</v>
      </c>
      <c r="Q23">
        <f t="shared" ca="1" si="4"/>
        <v>5</v>
      </c>
    </row>
  </sheetData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oglio5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6</v>
      </c>
      <c r="M4">
        <f t="shared" ref="M4:M23" ca="1" si="1">SUM(C4:L4)</f>
        <v>6</v>
      </c>
      <c r="N4">
        <v>80</v>
      </c>
      <c r="O4">
        <f t="shared" ref="O4:O23" ca="1" si="2">RANDBETWEEN(-15,15)</f>
        <v>-2</v>
      </c>
      <c r="P4">
        <f t="shared" ref="P4:P23" ca="1" si="3">N4+O4</f>
        <v>78</v>
      </c>
      <c r="Q4">
        <f t="shared" ref="Q4:Q23" ca="1" si="4">RANK(P4,$P$4:$P$23,0)</f>
        <v>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-8</v>
      </c>
      <c r="P5">
        <f t="shared" ca="1" si="3"/>
        <v>72</v>
      </c>
      <c r="Q5">
        <f t="shared" ca="1" si="4"/>
        <v>15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-15</v>
      </c>
      <c r="P6">
        <f t="shared" ca="1" si="3"/>
        <v>65</v>
      </c>
      <c r="Q6">
        <f t="shared" ca="1" si="4"/>
        <v>19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25</v>
      </c>
      <c r="M7">
        <f t="shared" ca="1" si="1"/>
        <v>25</v>
      </c>
      <c r="N7">
        <v>80</v>
      </c>
      <c r="O7" s="3">
        <f t="shared" ca="1" si="2"/>
        <v>14</v>
      </c>
      <c r="P7">
        <f t="shared" ca="1" si="3"/>
        <v>94</v>
      </c>
      <c r="Q7">
        <f t="shared" ca="1" si="4"/>
        <v>1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-14</v>
      </c>
      <c r="P8" s="2">
        <f t="shared" ca="1" si="3"/>
        <v>66</v>
      </c>
      <c r="Q8">
        <f t="shared" ca="1" si="4"/>
        <v>18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-15</v>
      </c>
      <c r="P9">
        <f t="shared" ca="1" si="3"/>
        <v>65</v>
      </c>
      <c r="Q9">
        <f t="shared" ca="1" si="4"/>
        <v>19</v>
      </c>
    </row>
    <row r="10" spans="1:20" x14ac:dyDescent="0.25">
      <c r="A10" t="s">
        <v>40</v>
      </c>
      <c r="B10" t="s">
        <v>28</v>
      </c>
      <c r="C10">
        <f t="shared" ca="1" si="0"/>
        <v>1</v>
      </c>
      <c r="M10">
        <f t="shared" ca="1" si="1"/>
        <v>1</v>
      </c>
      <c r="N10">
        <v>80</v>
      </c>
      <c r="O10">
        <f t="shared" ca="1" si="2"/>
        <v>-5</v>
      </c>
      <c r="P10">
        <f t="shared" ca="1" si="3"/>
        <v>75</v>
      </c>
      <c r="Q10">
        <f t="shared" ca="1" si="4"/>
        <v>10</v>
      </c>
    </row>
    <row r="11" spans="1:20" x14ac:dyDescent="0.25">
      <c r="A11" t="s">
        <v>41</v>
      </c>
      <c r="B11" t="s">
        <v>31</v>
      </c>
      <c r="C11">
        <f t="shared" ca="1" si="0"/>
        <v>10</v>
      </c>
      <c r="M11">
        <f t="shared" ca="1" si="1"/>
        <v>10</v>
      </c>
      <c r="N11">
        <v>80</v>
      </c>
      <c r="O11">
        <f t="shared" ca="1" si="2"/>
        <v>0</v>
      </c>
      <c r="P11">
        <f t="shared" ca="1" si="3"/>
        <v>80</v>
      </c>
      <c r="Q11">
        <f t="shared" ca="1" si="4"/>
        <v>5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0</v>
      </c>
      <c r="P12">
        <f t="shared" ca="1" si="3"/>
        <v>80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-6</v>
      </c>
      <c r="P13">
        <f t="shared" ca="1" si="3"/>
        <v>74</v>
      </c>
      <c r="Q13">
        <f t="shared" ca="1" si="4"/>
        <v>12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-10</v>
      </c>
      <c r="P14">
        <f t="shared" ca="1" si="3"/>
        <v>70</v>
      </c>
      <c r="Q14">
        <f t="shared" ca="1" si="4"/>
        <v>16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12</v>
      </c>
      <c r="M15">
        <f t="shared" ca="1" si="1"/>
        <v>12</v>
      </c>
      <c r="N15">
        <v>80</v>
      </c>
      <c r="O15">
        <f t="shared" ca="1" si="2"/>
        <v>1</v>
      </c>
      <c r="P15">
        <f t="shared" ca="1" si="3"/>
        <v>81</v>
      </c>
      <c r="Q15">
        <f t="shared" ca="1" si="4"/>
        <v>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-7</v>
      </c>
      <c r="P16">
        <f t="shared" ca="1" si="3"/>
        <v>73</v>
      </c>
      <c r="Q16">
        <f t="shared" ca="1" si="4"/>
        <v>13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18</v>
      </c>
      <c r="M17">
        <f t="shared" ca="1" si="1"/>
        <v>18</v>
      </c>
      <c r="N17">
        <v>80</v>
      </c>
      <c r="O17">
        <f t="shared" ca="1" si="2"/>
        <v>6</v>
      </c>
      <c r="P17">
        <f t="shared" ca="1" si="3"/>
        <v>86</v>
      </c>
      <c r="Q17">
        <f t="shared" ca="1" si="4"/>
        <v>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-7</v>
      </c>
      <c r="P18">
        <f t="shared" ca="1" si="3"/>
        <v>73</v>
      </c>
      <c r="Q18">
        <f t="shared" ca="1" si="4"/>
        <v>13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</v>
      </c>
      <c r="M19">
        <f t="shared" ca="1" si="1"/>
        <v>1</v>
      </c>
      <c r="N19">
        <v>80</v>
      </c>
      <c r="O19">
        <f t="shared" ca="1" si="2"/>
        <v>-5</v>
      </c>
      <c r="P19">
        <f t="shared" ca="1" si="3"/>
        <v>75</v>
      </c>
      <c r="Q19">
        <f t="shared" ca="1" si="4"/>
        <v>10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15</v>
      </c>
      <c r="M20">
        <f t="shared" ca="1" si="1"/>
        <v>15</v>
      </c>
      <c r="N20">
        <v>80</v>
      </c>
      <c r="O20">
        <f t="shared" ca="1" si="2"/>
        <v>3</v>
      </c>
      <c r="P20">
        <f t="shared" ca="1" si="3"/>
        <v>83</v>
      </c>
      <c r="Q20">
        <f t="shared" ca="1" si="4"/>
        <v>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</v>
      </c>
      <c r="M21">
        <f t="shared" ca="1" si="1"/>
        <v>2</v>
      </c>
      <c r="N21">
        <v>80</v>
      </c>
      <c r="O21">
        <f t="shared" ca="1" si="2"/>
        <v>-4</v>
      </c>
      <c r="P21">
        <f t="shared" ca="1" si="3"/>
        <v>76</v>
      </c>
      <c r="Q21">
        <f t="shared" ca="1" si="4"/>
        <v>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-12</v>
      </c>
      <c r="P22">
        <f t="shared" ca="1" si="3"/>
        <v>68</v>
      </c>
      <c r="Q22">
        <f t="shared" ca="1" si="4"/>
        <v>17</v>
      </c>
    </row>
    <row r="23" spans="1:20" x14ac:dyDescent="0.25">
      <c r="A23" t="s">
        <v>54</v>
      </c>
      <c r="B23" t="s">
        <v>37</v>
      </c>
      <c r="C23">
        <f t="shared" ca="1" si="0"/>
        <v>4</v>
      </c>
      <c r="M23">
        <f t="shared" ca="1" si="1"/>
        <v>4</v>
      </c>
      <c r="N23">
        <v>80</v>
      </c>
      <c r="O23">
        <f t="shared" ca="1" si="2"/>
        <v>-3</v>
      </c>
      <c r="P23">
        <f t="shared" ca="1" si="3"/>
        <v>77</v>
      </c>
      <c r="Q23">
        <f t="shared" ca="1" si="4"/>
        <v>8</v>
      </c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Foglio5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109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-14</v>
      </c>
      <c r="P4">
        <f t="shared" ref="P4:P23" ca="1" si="3">N4+O4</f>
        <v>66</v>
      </c>
      <c r="Q4">
        <f t="shared" ref="Q4:Q23" ca="1" si="4">RANK(P4,$P$4:$P$23,0)</f>
        <v>20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-12</v>
      </c>
      <c r="P5">
        <f t="shared" ca="1" si="3"/>
        <v>68</v>
      </c>
      <c r="Q5">
        <f t="shared" ca="1" si="4"/>
        <v>18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13</v>
      </c>
      <c r="P6">
        <f t="shared" ca="1" si="3"/>
        <v>93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</v>
      </c>
      <c r="M7">
        <f t="shared" ca="1" si="1"/>
        <v>2</v>
      </c>
      <c r="N7">
        <v>80</v>
      </c>
      <c r="O7" s="3">
        <f t="shared" ca="1" si="2"/>
        <v>2</v>
      </c>
      <c r="P7">
        <f t="shared" ca="1" si="3"/>
        <v>82</v>
      </c>
      <c r="Q7">
        <f t="shared" ca="1" si="4"/>
        <v>9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18</v>
      </c>
      <c r="M8">
        <f t="shared" ca="1" si="1"/>
        <v>18</v>
      </c>
      <c r="N8">
        <v>80</v>
      </c>
      <c r="O8" s="2">
        <f t="shared" ca="1" si="2"/>
        <v>13</v>
      </c>
      <c r="P8" s="2">
        <f t="shared" ca="1" si="3"/>
        <v>93</v>
      </c>
      <c r="Q8">
        <f t="shared" ca="1" si="4"/>
        <v>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10</v>
      </c>
      <c r="P9">
        <f t="shared" ca="1" si="3"/>
        <v>90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-11</v>
      </c>
      <c r="P10">
        <f t="shared" ca="1" si="3"/>
        <v>69</v>
      </c>
      <c r="Q10">
        <f t="shared" ca="1" si="4"/>
        <v>17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0</v>
      </c>
      <c r="P11">
        <f t="shared" ca="1" si="3"/>
        <v>80</v>
      </c>
      <c r="Q11">
        <f t="shared" ca="1" si="4"/>
        <v>12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15</v>
      </c>
      <c r="P12">
        <f t="shared" ca="1" si="3"/>
        <v>95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-3</v>
      </c>
      <c r="P13">
        <f t="shared" ca="1" si="3"/>
        <v>77</v>
      </c>
      <c r="Q13">
        <f t="shared" ca="1" si="4"/>
        <v>14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6</v>
      </c>
      <c r="M14">
        <f t="shared" ca="1" si="1"/>
        <v>6</v>
      </c>
      <c r="N14">
        <v>80</v>
      </c>
      <c r="O14">
        <f t="shared" ca="1" si="2"/>
        <v>7</v>
      </c>
      <c r="P14">
        <f t="shared" ca="1" si="3"/>
        <v>87</v>
      </c>
      <c r="Q14">
        <f t="shared" ca="1" si="4"/>
        <v>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</v>
      </c>
      <c r="P15">
        <f t="shared" ca="1" si="3"/>
        <v>79</v>
      </c>
      <c r="Q15">
        <f t="shared" ca="1" si="4"/>
        <v>13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12</v>
      </c>
      <c r="M16">
        <f t="shared" ca="1" si="1"/>
        <v>12</v>
      </c>
      <c r="N16">
        <v>80</v>
      </c>
      <c r="O16">
        <f t="shared" ca="1" si="2"/>
        <v>11</v>
      </c>
      <c r="P16">
        <f t="shared" ca="1" si="3"/>
        <v>91</v>
      </c>
      <c r="Q16">
        <f t="shared" ca="1" si="4"/>
        <v>4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-8</v>
      </c>
      <c r="P17">
        <f t="shared" ca="1" si="3"/>
        <v>72</v>
      </c>
      <c r="Q17">
        <f t="shared" ca="1" si="4"/>
        <v>15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-9</v>
      </c>
      <c r="P18">
        <f t="shared" ca="1" si="3"/>
        <v>71</v>
      </c>
      <c r="Q18">
        <f t="shared" ca="1" si="4"/>
        <v>16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</v>
      </c>
      <c r="M19">
        <f t="shared" ca="1" si="1"/>
        <v>2</v>
      </c>
      <c r="N19">
        <v>80</v>
      </c>
      <c r="O19">
        <f t="shared" ca="1" si="2"/>
        <v>2</v>
      </c>
      <c r="P19">
        <f t="shared" ca="1" si="3"/>
        <v>82</v>
      </c>
      <c r="Q19">
        <f t="shared" ca="1" si="4"/>
        <v>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8</v>
      </c>
      <c r="M20">
        <f t="shared" ca="1" si="1"/>
        <v>8</v>
      </c>
      <c r="N20">
        <v>80</v>
      </c>
      <c r="O20">
        <f t="shared" ca="1" si="2"/>
        <v>9</v>
      </c>
      <c r="P20">
        <f t="shared" ca="1" si="3"/>
        <v>89</v>
      </c>
      <c r="Q20">
        <f t="shared" ca="1" si="4"/>
        <v>6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</v>
      </c>
      <c r="M21">
        <f t="shared" ca="1" si="1"/>
        <v>2</v>
      </c>
      <c r="N21">
        <v>80</v>
      </c>
      <c r="O21">
        <f t="shared" ca="1" si="2"/>
        <v>2</v>
      </c>
      <c r="P21">
        <f t="shared" ca="1" si="3"/>
        <v>82</v>
      </c>
      <c r="Q21">
        <f t="shared" ca="1" si="4"/>
        <v>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-13</v>
      </c>
      <c r="P22">
        <f t="shared" ca="1" si="3"/>
        <v>67</v>
      </c>
      <c r="Q22">
        <f t="shared" ca="1" si="4"/>
        <v>19</v>
      </c>
    </row>
    <row r="23" spans="1:20" x14ac:dyDescent="0.25">
      <c r="A23" t="s">
        <v>54</v>
      </c>
      <c r="B23" t="s">
        <v>37</v>
      </c>
      <c r="C23">
        <f t="shared" ca="1" si="0"/>
        <v>6</v>
      </c>
      <c r="M23">
        <f t="shared" ca="1" si="1"/>
        <v>6</v>
      </c>
      <c r="N23">
        <v>80</v>
      </c>
      <c r="O23">
        <f t="shared" ca="1" si="2"/>
        <v>7</v>
      </c>
      <c r="P23">
        <f t="shared" ca="1" si="3"/>
        <v>87</v>
      </c>
      <c r="Q23">
        <f t="shared" ca="1" si="4"/>
        <v>7</v>
      </c>
    </row>
  </sheetData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oglio5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15</v>
      </c>
      <c r="M4">
        <f t="shared" ref="M4:M23" ca="1" si="1">SUM(C4:L4)</f>
        <v>15</v>
      </c>
      <c r="N4">
        <v>80</v>
      </c>
      <c r="O4">
        <f t="shared" ref="O4:O23" ca="1" si="2">RANDBETWEEN(-15,15)</f>
        <v>10</v>
      </c>
      <c r="P4">
        <f t="shared" ref="P4:P23" ca="1" si="3">N4+O4</f>
        <v>90</v>
      </c>
      <c r="Q4">
        <f t="shared" ref="Q4:Q23" ca="1" si="4">RANK(P4,$P$4:$P$23,0)</f>
        <v>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-9</v>
      </c>
      <c r="P5">
        <f t="shared" ca="1" si="3"/>
        <v>71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-9</v>
      </c>
      <c r="P6">
        <f t="shared" ca="1" si="3"/>
        <v>71</v>
      </c>
      <c r="Q6">
        <f t="shared" ca="1" si="4"/>
        <v>12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-10</v>
      </c>
      <c r="P7">
        <f t="shared" ca="1" si="3"/>
        <v>70</v>
      </c>
      <c r="Q7">
        <f t="shared" ca="1" si="4"/>
        <v>15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-12</v>
      </c>
      <c r="P8" s="2">
        <f t="shared" ca="1" si="3"/>
        <v>68</v>
      </c>
      <c r="Q8">
        <f t="shared" ca="1" si="4"/>
        <v>18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</v>
      </c>
      <c r="M9">
        <f t="shared" ca="1" si="1"/>
        <v>1</v>
      </c>
      <c r="N9">
        <v>80</v>
      </c>
      <c r="O9">
        <f t="shared" ca="1" si="2"/>
        <v>-5</v>
      </c>
      <c r="P9">
        <f t="shared" ca="1" si="3"/>
        <v>75</v>
      </c>
      <c r="Q9">
        <f t="shared" ca="1" si="4"/>
        <v>10</v>
      </c>
    </row>
    <row r="10" spans="1:20" x14ac:dyDescent="0.25">
      <c r="A10" t="s">
        <v>40</v>
      </c>
      <c r="B10" t="s">
        <v>28</v>
      </c>
      <c r="C10">
        <f t="shared" ca="1" si="0"/>
        <v>2</v>
      </c>
      <c r="M10">
        <f t="shared" ca="1" si="1"/>
        <v>2</v>
      </c>
      <c r="N10">
        <v>80</v>
      </c>
      <c r="O10">
        <f t="shared" ca="1" si="2"/>
        <v>-4</v>
      </c>
      <c r="P10">
        <f t="shared" ca="1" si="3"/>
        <v>76</v>
      </c>
      <c r="Q10">
        <f t="shared" ca="1" si="4"/>
        <v>9</v>
      </c>
    </row>
    <row r="11" spans="1:20" x14ac:dyDescent="0.25">
      <c r="A11" t="s">
        <v>41</v>
      </c>
      <c r="B11" t="s">
        <v>31</v>
      </c>
      <c r="C11">
        <f t="shared" ca="1" si="0"/>
        <v>8</v>
      </c>
      <c r="M11">
        <f t="shared" ca="1" si="1"/>
        <v>8</v>
      </c>
      <c r="N11">
        <v>80</v>
      </c>
      <c r="O11">
        <f t="shared" ca="1" si="2"/>
        <v>1</v>
      </c>
      <c r="P11">
        <f t="shared" ca="1" si="3"/>
        <v>81</v>
      </c>
      <c r="Q11">
        <f t="shared" ca="1" si="4"/>
        <v>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4</v>
      </c>
      <c r="M12">
        <f t="shared" ca="1" si="1"/>
        <v>4</v>
      </c>
      <c r="N12">
        <v>80</v>
      </c>
      <c r="O12">
        <f t="shared" ca="1" si="2"/>
        <v>-2</v>
      </c>
      <c r="P12">
        <f t="shared" ca="1" si="3"/>
        <v>78</v>
      </c>
      <c r="Q12">
        <f t="shared" ca="1" si="4"/>
        <v>8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18</v>
      </c>
      <c r="M13">
        <f t="shared" ca="1" si="1"/>
        <v>18</v>
      </c>
      <c r="N13">
        <v>80</v>
      </c>
      <c r="O13">
        <f t="shared" ca="1" si="2"/>
        <v>11</v>
      </c>
      <c r="P13">
        <f t="shared" ca="1" si="3"/>
        <v>91</v>
      </c>
      <c r="Q13">
        <f t="shared" ca="1" si="4"/>
        <v>2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8</v>
      </c>
      <c r="M14">
        <f t="shared" ca="1" si="1"/>
        <v>8</v>
      </c>
      <c r="N14">
        <v>80</v>
      </c>
      <c r="O14">
        <f t="shared" ca="1" si="2"/>
        <v>1</v>
      </c>
      <c r="P14">
        <f t="shared" ca="1" si="3"/>
        <v>81</v>
      </c>
      <c r="Q14">
        <f t="shared" ca="1" si="4"/>
        <v>6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-9</v>
      </c>
      <c r="P15">
        <f t="shared" ca="1" si="3"/>
        <v>71</v>
      </c>
      <c r="Q15">
        <f t="shared" ca="1" si="4"/>
        <v>12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-11</v>
      </c>
      <c r="P17">
        <f t="shared" ca="1" si="3"/>
        <v>69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10</v>
      </c>
      <c r="M18">
        <f t="shared" ca="1" si="1"/>
        <v>10</v>
      </c>
      <c r="N18">
        <v>80</v>
      </c>
      <c r="O18">
        <f t="shared" ca="1" si="2"/>
        <v>3</v>
      </c>
      <c r="P18">
        <f t="shared" ca="1" si="3"/>
        <v>83</v>
      </c>
      <c r="Q18">
        <f t="shared" ca="1" si="4"/>
        <v>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12</v>
      </c>
      <c r="M19">
        <f t="shared" ca="1" si="1"/>
        <v>12</v>
      </c>
      <c r="N19">
        <v>80</v>
      </c>
      <c r="O19">
        <f t="shared" ca="1" si="2"/>
        <v>9</v>
      </c>
      <c r="P19">
        <f t="shared" ca="1" si="3"/>
        <v>89</v>
      </c>
      <c r="Q19">
        <f t="shared" ca="1" si="4"/>
        <v>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-8</v>
      </c>
      <c r="P20">
        <f t="shared" ca="1" si="3"/>
        <v>72</v>
      </c>
      <c r="Q20">
        <f t="shared" ca="1" si="4"/>
        <v>11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-11</v>
      </c>
      <c r="P21">
        <f t="shared" ca="1" si="3"/>
        <v>69</v>
      </c>
      <c r="Q21">
        <f t="shared" ca="1" si="4"/>
        <v>16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-15</v>
      </c>
      <c r="P22">
        <f t="shared" ca="1" si="3"/>
        <v>65</v>
      </c>
      <c r="Q22">
        <f t="shared" ca="1" si="4"/>
        <v>20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-13</v>
      </c>
      <c r="P23">
        <f t="shared" ca="1" si="3"/>
        <v>67</v>
      </c>
      <c r="Q23">
        <f t="shared" ca="1" si="4"/>
        <v>19</v>
      </c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Foglio5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-15</v>
      </c>
      <c r="P4">
        <f t="shared" ref="P4:P23" ca="1" si="3">N4+O4</f>
        <v>65</v>
      </c>
      <c r="Q4">
        <f t="shared" ref="Q4:Q23" ca="1" si="4">RANK(P4,$P$4:$P$23,0)</f>
        <v>20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-3</v>
      </c>
      <c r="P5">
        <f t="shared" ca="1" si="3"/>
        <v>77</v>
      </c>
      <c r="Q5">
        <f t="shared" ca="1" si="4"/>
        <v>11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-12</v>
      </c>
      <c r="P6">
        <f t="shared" ca="1" si="3"/>
        <v>68</v>
      </c>
      <c r="Q6">
        <f t="shared" ca="1" si="4"/>
        <v>17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8</v>
      </c>
      <c r="M7">
        <f t="shared" ca="1" si="1"/>
        <v>8</v>
      </c>
      <c r="N7">
        <v>80</v>
      </c>
      <c r="O7" s="3">
        <f t="shared" ca="1" si="2"/>
        <v>6</v>
      </c>
      <c r="P7">
        <f t="shared" ca="1" si="3"/>
        <v>86</v>
      </c>
      <c r="Q7">
        <f t="shared" ca="1" si="4"/>
        <v>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8</v>
      </c>
      <c r="M8">
        <f t="shared" ca="1" si="1"/>
        <v>8</v>
      </c>
      <c r="N8">
        <v>80</v>
      </c>
      <c r="O8" s="2">
        <f t="shared" ca="1" si="2"/>
        <v>6</v>
      </c>
      <c r="P8" s="2">
        <f t="shared" ca="1" si="3"/>
        <v>86</v>
      </c>
      <c r="Q8">
        <f t="shared" ca="1" si="4"/>
        <v>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-14</v>
      </c>
      <c r="P9">
        <f t="shared" ca="1" si="3"/>
        <v>66</v>
      </c>
      <c r="Q9">
        <f t="shared" ca="1" si="4"/>
        <v>18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-14</v>
      </c>
      <c r="P10">
        <f t="shared" ca="1" si="3"/>
        <v>66</v>
      </c>
      <c r="Q10">
        <f t="shared" ca="1" si="4"/>
        <v>18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-11</v>
      </c>
      <c r="P11">
        <f t="shared" ca="1" si="3"/>
        <v>69</v>
      </c>
      <c r="Q11">
        <f t="shared" ca="1" si="4"/>
        <v>16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</v>
      </c>
      <c r="M12">
        <f t="shared" ca="1" si="1"/>
        <v>2</v>
      </c>
      <c r="N12">
        <v>80</v>
      </c>
      <c r="O12">
        <f t="shared" ca="1" si="2"/>
        <v>4</v>
      </c>
      <c r="P12">
        <f t="shared" ca="1" si="3"/>
        <v>84</v>
      </c>
      <c r="Q12">
        <f t="shared" ca="1" si="4"/>
        <v>9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-10</v>
      </c>
      <c r="P13">
        <f t="shared" ca="1" si="3"/>
        <v>70</v>
      </c>
      <c r="Q13">
        <f t="shared" ca="1" si="4"/>
        <v>15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15</v>
      </c>
      <c r="P14">
        <f t="shared" ca="1" si="3"/>
        <v>95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-9</v>
      </c>
      <c r="P15">
        <f t="shared" ca="1" si="3"/>
        <v>71</v>
      </c>
      <c r="Q15">
        <f t="shared" ca="1" si="4"/>
        <v>14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-7</v>
      </c>
      <c r="P16">
        <f t="shared" ca="1" si="3"/>
        <v>73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4</v>
      </c>
      <c r="M17">
        <f t="shared" ca="1" si="1"/>
        <v>4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10</v>
      </c>
      <c r="M18">
        <f t="shared" ca="1" si="1"/>
        <v>10</v>
      </c>
      <c r="N18">
        <v>80</v>
      </c>
      <c r="O18">
        <f t="shared" ca="1" si="2"/>
        <v>14</v>
      </c>
      <c r="P18">
        <f t="shared" ca="1" si="3"/>
        <v>94</v>
      </c>
      <c r="Q18">
        <f t="shared" ca="1" si="4"/>
        <v>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15</v>
      </c>
      <c r="P19">
        <f t="shared" ca="1" si="3"/>
        <v>95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</v>
      </c>
      <c r="M20">
        <f t="shared" ca="1" si="1"/>
        <v>1</v>
      </c>
      <c r="N20">
        <v>80</v>
      </c>
      <c r="O20">
        <f t="shared" ca="1" si="2"/>
        <v>1</v>
      </c>
      <c r="P20">
        <f t="shared" ca="1" si="3"/>
        <v>81</v>
      </c>
      <c r="Q20">
        <f t="shared" ca="1" si="4"/>
        <v>10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25</v>
      </c>
      <c r="M21">
        <f t="shared" ca="1" si="1"/>
        <v>25</v>
      </c>
      <c r="N21">
        <v>80</v>
      </c>
      <c r="O21">
        <f t="shared" ca="1" si="2"/>
        <v>15</v>
      </c>
      <c r="P21">
        <f t="shared" ca="1" si="3"/>
        <v>95</v>
      </c>
      <c r="Q21">
        <f t="shared" ca="1" si="4"/>
        <v>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-8</v>
      </c>
      <c r="P22">
        <f t="shared" ca="1" si="3"/>
        <v>72</v>
      </c>
      <c r="Q22">
        <f t="shared" ca="1" si="4"/>
        <v>13</v>
      </c>
    </row>
    <row r="23" spans="1:20" x14ac:dyDescent="0.25">
      <c r="A23" t="s">
        <v>54</v>
      </c>
      <c r="B23" t="s">
        <v>37</v>
      </c>
      <c r="C23">
        <f t="shared" ca="1" si="0"/>
        <v>25</v>
      </c>
      <c r="M23">
        <f t="shared" ca="1" si="1"/>
        <v>25</v>
      </c>
      <c r="N23">
        <v>80</v>
      </c>
      <c r="O23">
        <f t="shared" ca="1" si="2"/>
        <v>15</v>
      </c>
      <c r="P23">
        <f t="shared" ca="1" si="3"/>
        <v>95</v>
      </c>
      <c r="Q23">
        <f t="shared" ca="1" si="4"/>
        <v>1</v>
      </c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Foglio6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-13</v>
      </c>
      <c r="P4">
        <f t="shared" ref="P4:P23" ca="1" si="3">N4+O4</f>
        <v>67</v>
      </c>
      <c r="Q4">
        <f t="shared" ref="Q4:Q23" ca="1" si="4">RANK(P4,$P$4:$P$23,0)</f>
        <v>16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15</v>
      </c>
      <c r="M5">
        <f t="shared" ca="1" si="1"/>
        <v>15</v>
      </c>
      <c r="N5">
        <v>80</v>
      </c>
      <c r="O5">
        <f t="shared" ca="1" si="2"/>
        <v>11</v>
      </c>
      <c r="P5">
        <f t="shared" ca="1" si="3"/>
        <v>91</v>
      </c>
      <c r="Q5">
        <f t="shared" ca="1" si="4"/>
        <v>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13</v>
      </c>
      <c r="P6">
        <f t="shared" ca="1" si="3"/>
        <v>93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12</v>
      </c>
      <c r="M7">
        <f t="shared" ca="1" si="1"/>
        <v>12</v>
      </c>
      <c r="N7">
        <v>80</v>
      </c>
      <c r="O7" s="3">
        <f t="shared" ca="1" si="2"/>
        <v>7</v>
      </c>
      <c r="P7">
        <f t="shared" ca="1" si="3"/>
        <v>87</v>
      </c>
      <c r="Q7">
        <f t="shared" ca="1" si="4"/>
        <v>4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-14</v>
      </c>
      <c r="P8" s="2">
        <f t="shared" ca="1" si="3"/>
        <v>66</v>
      </c>
      <c r="Q8">
        <f t="shared" ca="1" si="4"/>
        <v>19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-5</v>
      </c>
      <c r="P9">
        <f t="shared" ca="1" si="3"/>
        <v>75</v>
      </c>
      <c r="Q9">
        <f t="shared" ca="1" si="4"/>
        <v>11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-15</v>
      </c>
      <c r="P10">
        <f t="shared" ca="1" si="3"/>
        <v>65</v>
      </c>
      <c r="Q10">
        <f t="shared" ca="1" si="4"/>
        <v>20</v>
      </c>
    </row>
    <row r="11" spans="1:20" x14ac:dyDescent="0.25">
      <c r="A11" t="s">
        <v>41</v>
      </c>
      <c r="B11" t="s">
        <v>31</v>
      </c>
      <c r="C11">
        <f t="shared" ca="1" si="0"/>
        <v>8</v>
      </c>
      <c r="M11">
        <f t="shared" ca="1" si="1"/>
        <v>8</v>
      </c>
      <c r="N11">
        <v>80</v>
      </c>
      <c r="O11">
        <f t="shared" ca="1" si="2"/>
        <v>3</v>
      </c>
      <c r="P11">
        <f t="shared" ca="1" si="3"/>
        <v>83</v>
      </c>
      <c r="Q11">
        <f t="shared" ca="1" si="4"/>
        <v>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6</v>
      </c>
      <c r="M12">
        <f t="shared" ca="1" si="1"/>
        <v>6</v>
      </c>
      <c r="N12">
        <v>80</v>
      </c>
      <c r="O12">
        <f t="shared" ca="1" si="2"/>
        <v>2</v>
      </c>
      <c r="P12">
        <f t="shared" ca="1" si="3"/>
        <v>82</v>
      </c>
      <c r="Q12">
        <f t="shared" ca="1" si="4"/>
        <v>7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</v>
      </c>
      <c r="M13">
        <f t="shared" ca="1" si="1"/>
        <v>1</v>
      </c>
      <c r="N13">
        <v>80</v>
      </c>
      <c r="O13">
        <f t="shared" ca="1" si="2"/>
        <v>-3</v>
      </c>
      <c r="P13">
        <f t="shared" ca="1" si="3"/>
        <v>77</v>
      </c>
      <c r="Q13">
        <f t="shared" ca="1" si="4"/>
        <v>10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-5</v>
      </c>
      <c r="P14">
        <f t="shared" ca="1" si="3"/>
        <v>75</v>
      </c>
      <c r="Q14">
        <f t="shared" ca="1" si="4"/>
        <v>11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-9</v>
      </c>
      <c r="P15">
        <f t="shared" ca="1" si="3"/>
        <v>71</v>
      </c>
      <c r="Q15">
        <f t="shared" ca="1" si="4"/>
        <v>13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-13</v>
      </c>
      <c r="P17">
        <f t="shared" ca="1" si="3"/>
        <v>67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-11</v>
      </c>
      <c r="P18">
        <f t="shared" ca="1" si="3"/>
        <v>69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6</v>
      </c>
      <c r="M19">
        <f t="shared" ca="1" si="1"/>
        <v>6</v>
      </c>
      <c r="N19">
        <v>80</v>
      </c>
      <c r="O19">
        <f t="shared" ca="1" si="2"/>
        <v>2</v>
      </c>
      <c r="P19">
        <f t="shared" ca="1" si="3"/>
        <v>82</v>
      </c>
      <c r="Q19">
        <f t="shared" ca="1" si="4"/>
        <v>7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-11</v>
      </c>
      <c r="P20">
        <f t="shared" ca="1" si="3"/>
        <v>69</v>
      </c>
      <c r="Q20">
        <f t="shared" ca="1" si="4"/>
        <v>14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10</v>
      </c>
      <c r="M21">
        <f t="shared" ca="1" si="1"/>
        <v>10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-13</v>
      </c>
      <c r="P22">
        <f t="shared" ca="1" si="3"/>
        <v>67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2</v>
      </c>
      <c r="M23">
        <f t="shared" ca="1" si="1"/>
        <v>2</v>
      </c>
      <c r="N23">
        <v>80</v>
      </c>
      <c r="O23">
        <f t="shared" ca="1" si="2"/>
        <v>0</v>
      </c>
      <c r="P23">
        <f t="shared" ca="1" si="3"/>
        <v>80</v>
      </c>
      <c r="Q23">
        <f t="shared" ca="1" si="4"/>
        <v>9</v>
      </c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oglio6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8</v>
      </c>
      <c r="M4">
        <f t="shared" ref="M4:M23" ca="1" si="1">SUM(C4:L4)</f>
        <v>8</v>
      </c>
      <c r="N4">
        <v>80</v>
      </c>
      <c r="O4">
        <f t="shared" ref="O4:O23" ca="1" si="2">RANDBETWEEN(-15,15)</f>
        <v>3</v>
      </c>
      <c r="P4">
        <f t="shared" ref="P4:P23" ca="1" si="3">N4+O4</f>
        <v>83</v>
      </c>
      <c r="Q4">
        <f t="shared" ref="Q4:Q23" ca="1" si="4">RANK(P4,$P$4:$P$23,0)</f>
        <v>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</v>
      </c>
      <c r="M5">
        <f t="shared" ca="1" si="1"/>
        <v>1</v>
      </c>
      <c r="N5">
        <v>80</v>
      </c>
      <c r="O5">
        <f t="shared" ca="1" si="2"/>
        <v>-2</v>
      </c>
      <c r="P5">
        <f t="shared" ca="1" si="3"/>
        <v>78</v>
      </c>
      <c r="Q5">
        <f t="shared" ca="1" si="4"/>
        <v>10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-14</v>
      </c>
      <c r="P6">
        <f t="shared" ca="1" si="3"/>
        <v>66</v>
      </c>
      <c r="Q6">
        <f t="shared" ca="1" si="4"/>
        <v>18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</v>
      </c>
      <c r="M7">
        <f t="shared" ca="1" si="1"/>
        <v>1</v>
      </c>
      <c r="N7">
        <v>80</v>
      </c>
      <c r="O7" s="3">
        <f t="shared" ca="1" si="2"/>
        <v>-2</v>
      </c>
      <c r="P7">
        <f t="shared" ca="1" si="3"/>
        <v>78</v>
      </c>
      <c r="Q7">
        <f t="shared" ca="1" si="4"/>
        <v>10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4</v>
      </c>
      <c r="M8">
        <f t="shared" ca="1" si="1"/>
        <v>4</v>
      </c>
      <c r="N8">
        <v>80</v>
      </c>
      <c r="O8" s="2">
        <f t="shared" ca="1" si="2"/>
        <v>2</v>
      </c>
      <c r="P8" s="2">
        <f t="shared" ca="1" si="3"/>
        <v>82</v>
      </c>
      <c r="Q8">
        <f t="shared" ca="1" si="4"/>
        <v>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-7</v>
      </c>
      <c r="P9">
        <f t="shared" ca="1" si="3"/>
        <v>73</v>
      </c>
      <c r="Q9">
        <f t="shared" ca="1" si="4"/>
        <v>13</v>
      </c>
    </row>
    <row r="10" spans="1:20" x14ac:dyDescent="0.25">
      <c r="A10" t="s">
        <v>40</v>
      </c>
      <c r="B10" t="s">
        <v>28</v>
      </c>
      <c r="C10">
        <f t="shared" ca="1" si="0"/>
        <v>1</v>
      </c>
      <c r="M10">
        <f t="shared" ca="1" si="1"/>
        <v>1</v>
      </c>
      <c r="N10">
        <v>80</v>
      </c>
      <c r="O10">
        <f t="shared" ca="1" si="2"/>
        <v>-2</v>
      </c>
      <c r="P10">
        <f t="shared" ca="1" si="3"/>
        <v>78</v>
      </c>
      <c r="Q10">
        <f t="shared" ca="1" si="4"/>
        <v>10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11</v>
      </c>
      <c r="P11">
        <f t="shared" ca="1" si="3"/>
        <v>91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-13</v>
      </c>
      <c r="P12">
        <f t="shared" ca="1" si="3"/>
        <v>67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-13</v>
      </c>
      <c r="P13">
        <f t="shared" ca="1" si="3"/>
        <v>67</v>
      </c>
      <c r="Q13">
        <f t="shared" ca="1" si="4"/>
        <v>16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12</v>
      </c>
      <c r="P15">
        <f t="shared" ca="1" si="3"/>
        <v>92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13</v>
      </c>
      <c r="P16">
        <f t="shared" ca="1" si="3"/>
        <v>93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-15</v>
      </c>
      <c r="P17">
        <f t="shared" ca="1" si="3"/>
        <v>65</v>
      </c>
      <c r="Q17">
        <f t="shared" ca="1" si="4"/>
        <v>19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-15</v>
      </c>
      <c r="P18">
        <f t="shared" ca="1" si="3"/>
        <v>65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8</v>
      </c>
      <c r="M19">
        <f t="shared" ca="1" si="1"/>
        <v>8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6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-8</v>
      </c>
      <c r="P20">
        <f t="shared" ca="1" si="3"/>
        <v>72</v>
      </c>
      <c r="Q20">
        <f t="shared" ca="1" si="4"/>
        <v>15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10</v>
      </c>
      <c r="P21">
        <f t="shared" ca="1" si="3"/>
        <v>90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10</v>
      </c>
      <c r="M22">
        <f t="shared" ca="1" si="1"/>
        <v>10</v>
      </c>
      <c r="N22">
        <v>80</v>
      </c>
      <c r="O22">
        <f t="shared" ca="1" si="2"/>
        <v>4</v>
      </c>
      <c r="P22">
        <f t="shared" ca="1" si="3"/>
        <v>84</v>
      </c>
      <c r="Q22">
        <f t="shared" ca="1" si="4"/>
        <v>5</v>
      </c>
    </row>
    <row r="23" spans="1:20" x14ac:dyDescent="0.25">
      <c r="A23" t="s">
        <v>54</v>
      </c>
      <c r="B23" t="s">
        <v>37</v>
      </c>
      <c r="C23">
        <f t="shared" ca="1" si="0"/>
        <v>4</v>
      </c>
      <c r="M23">
        <f t="shared" ca="1" si="1"/>
        <v>4</v>
      </c>
      <c r="N23">
        <v>80</v>
      </c>
      <c r="O23">
        <f t="shared" ca="1" si="2"/>
        <v>2</v>
      </c>
      <c r="P23">
        <f t="shared" ca="1" si="3"/>
        <v>82</v>
      </c>
      <c r="Q23">
        <f t="shared" ca="1" si="4"/>
        <v>8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oglio6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6</v>
      </c>
      <c r="M4">
        <f t="shared" ref="M4:M23" ca="1" si="1">SUM(C4:L4)</f>
        <v>6</v>
      </c>
      <c r="N4">
        <v>80</v>
      </c>
      <c r="O4">
        <f t="shared" ref="O4:O23" ca="1" si="2">RANDBETWEEN(-15,15)</f>
        <v>6</v>
      </c>
      <c r="P4">
        <f t="shared" ref="P4:P23" ca="1" si="3">N4+O4</f>
        <v>86</v>
      </c>
      <c r="Q4">
        <f t="shared" ref="Q4:Q23" ca="1" si="4">RANK(P4,$P$4:$P$23,0)</f>
        <v>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-10</v>
      </c>
      <c r="P5">
        <f t="shared" ca="1" si="3"/>
        <v>70</v>
      </c>
      <c r="Q5">
        <f t="shared" ca="1" si="4"/>
        <v>17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-2</v>
      </c>
      <c r="P6">
        <f t="shared" ca="1" si="3"/>
        <v>78</v>
      </c>
      <c r="Q6">
        <f t="shared" ca="1" si="4"/>
        <v>11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10</v>
      </c>
      <c r="M7">
        <f t="shared" ca="1" si="1"/>
        <v>10</v>
      </c>
      <c r="N7">
        <v>80</v>
      </c>
      <c r="O7" s="3">
        <f t="shared" ca="1" si="2"/>
        <v>11</v>
      </c>
      <c r="P7">
        <f t="shared" ca="1" si="3"/>
        <v>91</v>
      </c>
      <c r="Q7">
        <f t="shared" ca="1" si="4"/>
        <v>5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-3</v>
      </c>
      <c r="P8" s="2">
        <f t="shared" ca="1" si="3"/>
        <v>77</v>
      </c>
      <c r="Q8">
        <f t="shared" ca="1" si="4"/>
        <v>13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25</v>
      </c>
      <c r="M9">
        <f t="shared" ca="1" si="1"/>
        <v>25</v>
      </c>
      <c r="N9">
        <v>80</v>
      </c>
      <c r="O9">
        <f t="shared" ca="1" si="2"/>
        <v>15</v>
      </c>
      <c r="P9">
        <f t="shared" ca="1" si="3"/>
        <v>95</v>
      </c>
      <c r="Q9">
        <f t="shared" ca="1" si="4"/>
        <v>1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-15</v>
      </c>
      <c r="P10">
        <f t="shared" ca="1" si="3"/>
        <v>65</v>
      </c>
      <c r="Q10">
        <f t="shared" ca="1" si="4"/>
        <v>19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12</v>
      </c>
      <c r="P11">
        <f t="shared" ca="1" si="3"/>
        <v>92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-7</v>
      </c>
      <c r="P12">
        <f t="shared" ca="1" si="3"/>
        <v>73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8</v>
      </c>
      <c r="M13">
        <f t="shared" ca="1" si="1"/>
        <v>8</v>
      </c>
      <c r="N13">
        <v>80</v>
      </c>
      <c r="O13">
        <f t="shared" ca="1" si="2"/>
        <v>8</v>
      </c>
      <c r="P13">
        <f t="shared" ca="1" si="3"/>
        <v>88</v>
      </c>
      <c r="Q13">
        <f t="shared" ca="1" si="4"/>
        <v>6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18</v>
      </c>
      <c r="M14">
        <f t="shared" ca="1" si="1"/>
        <v>18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2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-13</v>
      </c>
      <c r="P15">
        <f t="shared" ca="1" si="3"/>
        <v>67</v>
      </c>
      <c r="Q15">
        <f t="shared" ca="1" si="4"/>
        <v>18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</v>
      </c>
      <c r="M16">
        <f t="shared" ca="1" si="1"/>
        <v>1</v>
      </c>
      <c r="N16">
        <v>80</v>
      </c>
      <c r="O16">
        <f t="shared" ca="1" si="2"/>
        <v>-1</v>
      </c>
      <c r="P16">
        <f t="shared" ca="1" si="3"/>
        <v>79</v>
      </c>
      <c r="Q16">
        <f t="shared" ca="1" si="4"/>
        <v>10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4</v>
      </c>
      <c r="M17">
        <f t="shared" ca="1" si="1"/>
        <v>4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-15</v>
      </c>
      <c r="P18">
        <f t="shared" ca="1" si="3"/>
        <v>65</v>
      </c>
      <c r="Q18">
        <f t="shared" ca="1" si="4"/>
        <v>19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-2</v>
      </c>
      <c r="P19">
        <f t="shared" ca="1" si="3"/>
        <v>78</v>
      </c>
      <c r="Q19">
        <f t="shared" ca="1" si="4"/>
        <v>11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-6</v>
      </c>
      <c r="P20">
        <f t="shared" ca="1" si="3"/>
        <v>74</v>
      </c>
      <c r="Q20">
        <f t="shared" ca="1" si="4"/>
        <v>14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4</v>
      </c>
      <c r="M21">
        <f t="shared" ca="1" si="1"/>
        <v>4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-6</v>
      </c>
      <c r="P22">
        <f t="shared" ca="1" si="3"/>
        <v>74</v>
      </c>
      <c r="Q22">
        <f t="shared" ca="1" si="4"/>
        <v>14</v>
      </c>
    </row>
    <row r="23" spans="1:20" x14ac:dyDescent="0.25">
      <c r="A23" t="s">
        <v>54</v>
      </c>
      <c r="B23" t="s">
        <v>37</v>
      </c>
      <c r="C23">
        <f t="shared" ca="1" si="0"/>
        <v>18</v>
      </c>
      <c r="M23">
        <f t="shared" ca="1" si="1"/>
        <v>18</v>
      </c>
      <c r="N23">
        <v>80</v>
      </c>
      <c r="O23">
        <f t="shared" ca="1" si="2"/>
        <v>13</v>
      </c>
      <c r="P23">
        <f t="shared" ca="1" si="3"/>
        <v>93</v>
      </c>
      <c r="Q23">
        <f t="shared" ca="1" si="4"/>
        <v>2</v>
      </c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Foglio6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-11</v>
      </c>
      <c r="P4">
        <f t="shared" ref="P4:P23" ca="1" si="3">N4+O4</f>
        <v>69</v>
      </c>
      <c r="Q4">
        <f t="shared" ref="Q4:Q23" ca="1" si="4">RANK(P4,$P$4:$P$23,0)</f>
        <v>17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18</v>
      </c>
      <c r="M5">
        <f t="shared" ca="1" si="1"/>
        <v>18</v>
      </c>
      <c r="N5">
        <v>80</v>
      </c>
      <c r="O5">
        <f t="shared" ca="1" si="2"/>
        <v>10</v>
      </c>
      <c r="P5">
        <f t="shared" ca="1" si="3"/>
        <v>90</v>
      </c>
      <c r="Q5">
        <f t="shared" ca="1" si="4"/>
        <v>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-13</v>
      </c>
      <c r="P6">
        <f t="shared" ca="1" si="3"/>
        <v>67</v>
      </c>
      <c r="Q6">
        <f t="shared" ca="1" si="4"/>
        <v>19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15</v>
      </c>
      <c r="M7">
        <f t="shared" ca="1" si="1"/>
        <v>15</v>
      </c>
      <c r="N7">
        <v>80</v>
      </c>
      <c r="O7" s="3">
        <f t="shared" ca="1" si="2"/>
        <v>5</v>
      </c>
      <c r="P7">
        <f t="shared" ca="1" si="3"/>
        <v>85</v>
      </c>
      <c r="Q7">
        <f t="shared" ca="1" si="4"/>
        <v>3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-4</v>
      </c>
      <c r="P8" s="2">
        <f t="shared" ca="1" si="3"/>
        <v>76</v>
      </c>
      <c r="Q8">
        <f t="shared" ca="1" si="4"/>
        <v>12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15</v>
      </c>
      <c r="M9">
        <f t="shared" ca="1" si="1"/>
        <v>15</v>
      </c>
      <c r="N9">
        <v>80</v>
      </c>
      <c r="O9">
        <f t="shared" ca="1" si="2"/>
        <v>5</v>
      </c>
      <c r="P9">
        <f t="shared" ca="1" si="3"/>
        <v>85</v>
      </c>
      <c r="Q9">
        <f t="shared" ca="1" si="4"/>
        <v>3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-11</v>
      </c>
      <c r="P10">
        <f t="shared" ca="1" si="3"/>
        <v>69</v>
      </c>
      <c r="Q10">
        <f t="shared" ca="1" si="4"/>
        <v>17</v>
      </c>
    </row>
    <row r="11" spans="1:20" x14ac:dyDescent="0.25">
      <c r="A11" t="s">
        <v>41</v>
      </c>
      <c r="B11" t="s">
        <v>31</v>
      </c>
      <c r="C11">
        <f t="shared" ca="1" si="0"/>
        <v>1</v>
      </c>
      <c r="M11">
        <f t="shared" ca="1" si="1"/>
        <v>1</v>
      </c>
      <c r="N11">
        <v>80</v>
      </c>
      <c r="O11">
        <f t="shared" ca="1" si="2"/>
        <v>-3</v>
      </c>
      <c r="P11">
        <f t="shared" ca="1" si="3"/>
        <v>77</v>
      </c>
      <c r="Q11">
        <f t="shared" ca="1" si="4"/>
        <v>10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-8</v>
      </c>
      <c r="P12">
        <f t="shared" ca="1" si="3"/>
        <v>72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4</v>
      </c>
      <c r="P13">
        <f t="shared" ca="1" si="3"/>
        <v>84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-3</v>
      </c>
      <c r="P15">
        <f t="shared" ca="1" si="3"/>
        <v>77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-5</v>
      </c>
      <c r="P16">
        <f t="shared" ca="1" si="3"/>
        <v>75</v>
      </c>
      <c r="Q16">
        <f t="shared" ca="1" si="4"/>
        <v>13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8</v>
      </c>
      <c r="M17">
        <f t="shared" ca="1" si="1"/>
        <v>8</v>
      </c>
      <c r="N17">
        <v>80</v>
      </c>
      <c r="O17">
        <f t="shared" ca="1" si="2"/>
        <v>0</v>
      </c>
      <c r="P17">
        <f t="shared" ca="1" si="3"/>
        <v>80</v>
      </c>
      <c r="Q17">
        <f t="shared" ca="1" si="4"/>
        <v>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8</v>
      </c>
      <c r="M18">
        <f t="shared" ca="1" si="1"/>
        <v>8</v>
      </c>
      <c r="N18">
        <v>80</v>
      </c>
      <c r="O18">
        <f t="shared" ca="1" si="2"/>
        <v>0</v>
      </c>
      <c r="P18">
        <f t="shared" ca="1" si="3"/>
        <v>80</v>
      </c>
      <c r="Q18">
        <f t="shared" ca="1" si="4"/>
        <v>6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13</v>
      </c>
      <c r="P19">
        <f t="shared" ca="1" si="3"/>
        <v>93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-14</v>
      </c>
      <c r="P20">
        <f t="shared" ca="1" si="3"/>
        <v>66</v>
      </c>
      <c r="Q20">
        <f t="shared" ca="1" si="4"/>
        <v>20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-7</v>
      </c>
      <c r="P21">
        <f t="shared" ca="1" si="3"/>
        <v>73</v>
      </c>
      <c r="Q21">
        <f t="shared" ca="1" si="4"/>
        <v>14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4</v>
      </c>
      <c r="M22">
        <f t="shared" ca="1" si="1"/>
        <v>4</v>
      </c>
      <c r="N22">
        <v>80</v>
      </c>
      <c r="O22">
        <f t="shared" ca="1" si="2"/>
        <v>-1</v>
      </c>
      <c r="P22">
        <f t="shared" ca="1" si="3"/>
        <v>79</v>
      </c>
      <c r="Q22">
        <f t="shared" ca="1" si="4"/>
        <v>8</v>
      </c>
    </row>
    <row r="23" spans="1:20" x14ac:dyDescent="0.25">
      <c r="A23" t="s">
        <v>54</v>
      </c>
      <c r="B23" t="s">
        <v>37</v>
      </c>
      <c r="C23">
        <f t="shared" ca="1" si="0"/>
        <v>2</v>
      </c>
      <c r="M23">
        <f t="shared" ca="1" si="1"/>
        <v>2</v>
      </c>
      <c r="N23">
        <v>80</v>
      </c>
      <c r="O23">
        <f t="shared" ca="1" si="2"/>
        <v>-2</v>
      </c>
      <c r="P23">
        <f t="shared" ca="1" si="3"/>
        <v>78</v>
      </c>
      <c r="Q23">
        <f t="shared" ca="1" si="4"/>
        <v>9</v>
      </c>
    </row>
  </sheetData>
  <pageMargins left="0.75" right="0.75" top="1" bottom="1" header="0.5" footer="0.5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Foglio64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116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4</v>
      </c>
      <c r="M4">
        <f t="shared" ref="M4:M23" ca="1" si="1">SUM(C4:L4)</f>
        <v>4</v>
      </c>
      <c r="N4">
        <v>80</v>
      </c>
      <c r="O4">
        <f t="shared" ref="O4:O23" ca="1" si="2">RANDBETWEEN(-15,15)</f>
        <v>5</v>
      </c>
      <c r="P4">
        <f t="shared" ref="P4:P23" ca="1" si="3">N4+O4</f>
        <v>85</v>
      </c>
      <c r="Q4">
        <f t="shared" ref="Q4:Q23" ca="1" si="4">RANK(P4,$P$4:$P$23,0)</f>
        <v>8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25</v>
      </c>
      <c r="M5">
        <f t="shared" ca="1" si="1"/>
        <v>25</v>
      </c>
      <c r="N5">
        <v>80</v>
      </c>
      <c r="O5">
        <f t="shared" ca="1" si="2"/>
        <v>14</v>
      </c>
      <c r="P5">
        <f t="shared" ca="1" si="3"/>
        <v>94</v>
      </c>
      <c r="Q5">
        <f t="shared" ca="1" si="4"/>
        <v>1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1</v>
      </c>
      <c r="P6">
        <f t="shared" ca="1" si="3"/>
        <v>81</v>
      </c>
      <c r="Q6">
        <f t="shared" ca="1" si="4"/>
        <v>12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2</v>
      </c>
      <c r="P7">
        <f t="shared" ca="1" si="3"/>
        <v>82</v>
      </c>
      <c r="Q7">
        <f t="shared" ca="1" si="4"/>
        <v>11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-9</v>
      </c>
      <c r="P8" s="2">
        <f t="shared" ca="1" si="3"/>
        <v>71</v>
      </c>
      <c r="Q8">
        <f t="shared" ca="1" si="4"/>
        <v>16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-6</v>
      </c>
      <c r="P9">
        <f t="shared" ca="1" si="3"/>
        <v>74</v>
      </c>
      <c r="Q9">
        <f t="shared" ca="1" si="4"/>
        <v>15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9</v>
      </c>
      <c r="P10">
        <f t="shared" ca="1" si="3"/>
        <v>89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-5</v>
      </c>
      <c r="P11">
        <f t="shared" ca="1" si="3"/>
        <v>75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18</v>
      </c>
      <c r="M12">
        <f t="shared" ca="1" si="1"/>
        <v>18</v>
      </c>
      <c r="N12">
        <v>80</v>
      </c>
      <c r="O12">
        <f t="shared" ca="1" si="2"/>
        <v>13</v>
      </c>
      <c r="P12">
        <f t="shared" ca="1" si="3"/>
        <v>93</v>
      </c>
      <c r="Q12">
        <f t="shared" ca="1" si="4"/>
        <v>2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-14</v>
      </c>
      <c r="P13">
        <f t="shared" ca="1" si="3"/>
        <v>66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6</v>
      </c>
      <c r="M14">
        <f t="shared" ca="1" si="1"/>
        <v>6</v>
      </c>
      <c r="N14">
        <v>80</v>
      </c>
      <c r="O14">
        <f t="shared" ca="1" si="2"/>
        <v>6</v>
      </c>
      <c r="P14">
        <f t="shared" ca="1" si="3"/>
        <v>86</v>
      </c>
      <c r="Q14">
        <f t="shared" ca="1" si="4"/>
        <v>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</v>
      </c>
      <c r="M15">
        <f t="shared" ca="1" si="1"/>
        <v>1</v>
      </c>
      <c r="N15">
        <v>80</v>
      </c>
      <c r="O15">
        <f t="shared" ca="1" si="2"/>
        <v>3</v>
      </c>
      <c r="P15">
        <f t="shared" ca="1" si="3"/>
        <v>83</v>
      </c>
      <c r="Q15">
        <f t="shared" ca="1" si="4"/>
        <v>10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-14</v>
      </c>
      <c r="P16">
        <f t="shared" ca="1" si="3"/>
        <v>66</v>
      </c>
      <c r="Q16">
        <f t="shared" ca="1" si="4"/>
        <v>19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-10</v>
      </c>
      <c r="P17">
        <f t="shared" ca="1" si="3"/>
        <v>70</v>
      </c>
      <c r="Q17">
        <f t="shared" ca="1" si="4"/>
        <v>18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-9</v>
      </c>
      <c r="P18">
        <f t="shared" ca="1" si="3"/>
        <v>71</v>
      </c>
      <c r="Q18">
        <f t="shared" ca="1" si="4"/>
        <v>16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</v>
      </c>
      <c r="M19">
        <f t="shared" ca="1" si="1"/>
        <v>2</v>
      </c>
      <c r="N19">
        <v>80</v>
      </c>
      <c r="O19">
        <f t="shared" ca="1" si="2"/>
        <v>4</v>
      </c>
      <c r="P19">
        <f t="shared" ca="1" si="3"/>
        <v>84</v>
      </c>
      <c r="Q19">
        <f t="shared" ca="1" si="4"/>
        <v>9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15</v>
      </c>
      <c r="M20">
        <f t="shared" ca="1" si="1"/>
        <v>15</v>
      </c>
      <c r="N20">
        <v>80</v>
      </c>
      <c r="O20">
        <f t="shared" ca="1" si="2"/>
        <v>12</v>
      </c>
      <c r="P20">
        <f t="shared" ca="1" si="3"/>
        <v>92</v>
      </c>
      <c r="Q20">
        <f t="shared" ca="1" si="4"/>
        <v>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-5</v>
      </c>
      <c r="P21">
        <f t="shared" ca="1" si="3"/>
        <v>75</v>
      </c>
      <c r="Q21">
        <f t="shared" ca="1" si="4"/>
        <v>13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12</v>
      </c>
      <c r="M22">
        <f t="shared" ca="1" si="1"/>
        <v>12</v>
      </c>
      <c r="N22">
        <v>80</v>
      </c>
      <c r="O22">
        <f t="shared" ca="1" si="2"/>
        <v>11</v>
      </c>
      <c r="P22">
        <f t="shared" ca="1" si="3"/>
        <v>91</v>
      </c>
      <c r="Q22">
        <f t="shared" ca="1" si="4"/>
        <v>4</v>
      </c>
    </row>
    <row r="23" spans="1:20" x14ac:dyDescent="0.25">
      <c r="A23" t="s">
        <v>54</v>
      </c>
      <c r="B23" t="s">
        <v>37</v>
      </c>
      <c r="C23">
        <f t="shared" ca="1" si="0"/>
        <v>10</v>
      </c>
      <c r="M23">
        <f t="shared" ca="1" si="1"/>
        <v>10</v>
      </c>
      <c r="N23">
        <v>80</v>
      </c>
      <c r="O23">
        <f t="shared" ca="1" si="2"/>
        <v>9</v>
      </c>
      <c r="P23">
        <f t="shared" ca="1" si="3"/>
        <v>89</v>
      </c>
      <c r="Q23">
        <f t="shared" ca="1" si="4"/>
        <v>5</v>
      </c>
    </row>
  </sheetData>
  <pageMargins left="0.75" right="0.75" top="1" bottom="1" header="0.5" footer="0.5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oglio6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2</v>
      </c>
      <c r="P4">
        <f t="shared" ref="P4:P23" ca="1" si="3">N4+O4</f>
        <v>82</v>
      </c>
      <c r="Q4">
        <f t="shared" ref="Q4:Q23" ca="1" si="4">RANK(P4,$P$4:$P$23,0)</f>
        <v>11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10</v>
      </c>
      <c r="M5">
        <f t="shared" ca="1" si="1"/>
        <v>10</v>
      </c>
      <c r="N5">
        <v>80</v>
      </c>
      <c r="O5">
        <f t="shared" ca="1" si="2"/>
        <v>12</v>
      </c>
      <c r="P5">
        <f t="shared" ca="1" si="3"/>
        <v>92</v>
      </c>
      <c r="Q5">
        <f t="shared" ca="1" si="4"/>
        <v>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-8</v>
      </c>
      <c r="P6">
        <f t="shared" ca="1" si="3"/>
        <v>72</v>
      </c>
      <c r="Q6">
        <f t="shared" ca="1" si="4"/>
        <v>16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-9</v>
      </c>
      <c r="P7">
        <f t="shared" ca="1" si="3"/>
        <v>71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4</v>
      </c>
      <c r="M8">
        <f t="shared" ca="1" si="1"/>
        <v>4</v>
      </c>
      <c r="N8">
        <v>80</v>
      </c>
      <c r="O8" s="2">
        <f t="shared" ca="1" si="2"/>
        <v>6</v>
      </c>
      <c r="P8" s="2">
        <f t="shared" ca="1" si="3"/>
        <v>86</v>
      </c>
      <c r="Q8">
        <f t="shared" ca="1" si="4"/>
        <v>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6</v>
      </c>
      <c r="M9">
        <f t="shared" ca="1" si="1"/>
        <v>6</v>
      </c>
      <c r="N9">
        <v>80</v>
      </c>
      <c r="O9">
        <f t="shared" ca="1" si="2"/>
        <v>7</v>
      </c>
      <c r="P9">
        <f t="shared" ca="1" si="3"/>
        <v>87</v>
      </c>
      <c r="Q9">
        <f t="shared" ca="1" si="4"/>
        <v>7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6</v>
      </c>
      <c r="P10">
        <f t="shared" ca="1" si="3"/>
        <v>86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25</v>
      </c>
      <c r="M11">
        <f t="shared" ca="1" si="1"/>
        <v>25</v>
      </c>
      <c r="N11">
        <v>80</v>
      </c>
      <c r="O11">
        <f t="shared" ca="1" si="2"/>
        <v>15</v>
      </c>
      <c r="P11">
        <f t="shared" ca="1" si="3"/>
        <v>95</v>
      </c>
      <c r="Q11">
        <f t="shared" ca="1" si="4"/>
        <v>1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</v>
      </c>
      <c r="P12">
        <f t="shared" ca="1" si="3"/>
        <v>79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-7</v>
      </c>
      <c r="P13">
        <f t="shared" ca="1" si="3"/>
        <v>73</v>
      </c>
      <c r="Q13">
        <f t="shared" ca="1" si="4"/>
        <v>14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4</v>
      </c>
      <c r="M14">
        <f t="shared" ca="1" si="1"/>
        <v>4</v>
      </c>
      <c r="N14">
        <v>80</v>
      </c>
      <c r="O14">
        <f t="shared" ca="1" si="2"/>
        <v>6</v>
      </c>
      <c r="P14">
        <f t="shared" ca="1" si="3"/>
        <v>86</v>
      </c>
      <c r="Q14">
        <f t="shared" ca="1" si="4"/>
        <v>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8</v>
      </c>
      <c r="M15">
        <f t="shared" ca="1" si="1"/>
        <v>8</v>
      </c>
      <c r="N15">
        <v>80</v>
      </c>
      <c r="O15">
        <f t="shared" ca="1" si="2"/>
        <v>8</v>
      </c>
      <c r="P15">
        <f t="shared" ca="1" si="3"/>
        <v>88</v>
      </c>
      <c r="Q15">
        <f t="shared" ca="1" si="4"/>
        <v>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-10</v>
      </c>
      <c r="P16">
        <f t="shared" ca="1" si="3"/>
        <v>70</v>
      </c>
      <c r="Q16">
        <f t="shared" ca="1" si="4"/>
        <v>18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25</v>
      </c>
      <c r="M17">
        <f t="shared" ca="1" si="1"/>
        <v>25</v>
      </c>
      <c r="N17">
        <v>80</v>
      </c>
      <c r="O17">
        <f t="shared" ca="1" si="2"/>
        <v>15</v>
      </c>
      <c r="P17">
        <f t="shared" ca="1" si="3"/>
        <v>95</v>
      </c>
      <c r="Q17">
        <f t="shared" ca="1" si="4"/>
        <v>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15</v>
      </c>
      <c r="M18">
        <f t="shared" ca="1" si="1"/>
        <v>15</v>
      </c>
      <c r="N18">
        <v>80</v>
      </c>
      <c r="O18">
        <f t="shared" ca="1" si="2"/>
        <v>14</v>
      </c>
      <c r="P18">
        <f t="shared" ca="1" si="3"/>
        <v>94</v>
      </c>
      <c r="Q18">
        <f t="shared" ca="1" si="4"/>
        <v>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15</v>
      </c>
      <c r="M19">
        <f t="shared" ca="1" si="1"/>
        <v>15</v>
      </c>
      <c r="N19">
        <v>80</v>
      </c>
      <c r="O19">
        <f t="shared" ca="1" si="2"/>
        <v>14</v>
      </c>
      <c r="P19">
        <f t="shared" ca="1" si="3"/>
        <v>94</v>
      </c>
      <c r="Q19">
        <f t="shared" ca="1" si="4"/>
        <v>3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0</v>
      </c>
      <c r="P20">
        <f t="shared" ca="1" si="3"/>
        <v>80</v>
      </c>
      <c r="Q20">
        <f t="shared" ca="1" si="4"/>
        <v>12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-10</v>
      </c>
      <c r="P21">
        <f t="shared" ca="1" si="3"/>
        <v>70</v>
      </c>
      <c r="Q21">
        <f t="shared" ca="1" si="4"/>
        <v>18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-11</v>
      </c>
      <c r="P22">
        <f t="shared" ca="1" si="3"/>
        <v>69</v>
      </c>
      <c r="Q22">
        <f t="shared" ca="1" si="4"/>
        <v>20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-7</v>
      </c>
      <c r="P23">
        <f t="shared" ca="1" si="3"/>
        <v>73</v>
      </c>
      <c r="Q23">
        <f t="shared" ca="1" si="4"/>
        <v>14</v>
      </c>
    </row>
  </sheetData>
  <pageMargins left="0.75" right="0.75" top="1" bottom="1" header="0.5" footer="0.5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Foglio6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</v>
      </c>
      <c r="M4">
        <f t="shared" ref="M4:M23" ca="1" si="1">SUM(C4:L4)</f>
        <v>1</v>
      </c>
      <c r="N4">
        <v>80</v>
      </c>
      <c r="O4">
        <f t="shared" ref="O4:O23" ca="1" si="2">RANDBETWEEN(-15,15)</f>
        <v>-7</v>
      </c>
      <c r="P4">
        <f t="shared" ref="P4:P23" ca="1" si="3">N4+O4</f>
        <v>73</v>
      </c>
      <c r="Q4">
        <f t="shared" ref="Q4:Q23" ca="1" si="4">RANK(P4,$P$4:$P$23,0)</f>
        <v>10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2</v>
      </c>
      <c r="M5">
        <f t="shared" ca="1" si="1"/>
        <v>2</v>
      </c>
      <c r="N5">
        <v>80</v>
      </c>
      <c r="O5">
        <f t="shared" ca="1" si="2"/>
        <v>-6</v>
      </c>
      <c r="P5">
        <f t="shared" ca="1" si="3"/>
        <v>74</v>
      </c>
      <c r="Q5">
        <f t="shared" ca="1" si="4"/>
        <v>9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</v>
      </c>
      <c r="M6">
        <f t="shared" ca="1" si="1"/>
        <v>1</v>
      </c>
      <c r="N6">
        <v>80</v>
      </c>
      <c r="O6">
        <f t="shared" ca="1" si="2"/>
        <v>-7</v>
      </c>
      <c r="P6">
        <f t="shared" ca="1" si="3"/>
        <v>73</v>
      </c>
      <c r="Q6">
        <f t="shared" ca="1" si="4"/>
        <v>10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6</v>
      </c>
      <c r="M7">
        <f t="shared" ca="1" si="1"/>
        <v>6</v>
      </c>
      <c r="N7">
        <v>80</v>
      </c>
      <c r="O7" s="3">
        <f t="shared" ca="1" si="2"/>
        <v>1</v>
      </c>
      <c r="P7">
        <f t="shared" ca="1" si="3"/>
        <v>81</v>
      </c>
      <c r="Q7">
        <f t="shared" ca="1" si="4"/>
        <v>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-12</v>
      </c>
      <c r="P8" s="2">
        <f t="shared" ca="1" si="3"/>
        <v>68</v>
      </c>
      <c r="Q8">
        <f t="shared" ca="1" si="4"/>
        <v>16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-8</v>
      </c>
      <c r="P9">
        <f t="shared" ca="1" si="3"/>
        <v>72</v>
      </c>
      <c r="Q9">
        <f t="shared" ca="1" si="4"/>
        <v>13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-12</v>
      </c>
      <c r="P10">
        <f t="shared" ca="1" si="3"/>
        <v>68</v>
      </c>
      <c r="Q10">
        <f t="shared" ca="1" si="4"/>
        <v>16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5</v>
      </c>
      <c r="P11">
        <f t="shared" ca="1" si="3"/>
        <v>85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15</v>
      </c>
      <c r="M12">
        <f t="shared" ca="1" si="1"/>
        <v>15</v>
      </c>
      <c r="N12">
        <v>80</v>
      </c>
      <c r="O12">
        <f t="shared" ca="1" si="2"/>
        <v>9</v>
      </c>
      <c r="P12">
        <f t="shared" ca="1" si="3"/>
        <v>89</v>
      </c>
      <c r="Q12">
        <f t="shared" ca="1" si="4"/>
        <v>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-13</v>
      </c>
      <c r="P13">
        <f t="shared" ca="1" si="3"/>
        <v>67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</v>
      </c>
      <c r="M14">
        <f t="shared" ca="1" si="1"/>
        <v>1</v>
      </c>
      <c r="N14">
        <v>80</v>
      </c>
      <c r="O14">
        <f t="shared" ca="1" si="2"/>
        <v>-7</v>
      </c>
      <c r="P14">
        <f t="shared" ca="1" si="3"/>
        <v>73</v>
      </c>
      <c r="Q14">
        <f t="shared" ca="1" si="4"/>
        <v>10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10</v>
      </c>
      <c r="P15">
        <f t="shared" ca="1" si="3"/>
        <v>90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4</v>
      </c>
      <c r="M16">
        <f t="shared" ca="1" si="1"/>
        <v>4</v>
      </c>
      <c r="N16">
        <v>80</v>
      </c>
      <c r="O16">
        <f t="shared" ca="1" si="2"/>
        <v>-2</v>
      </c>
      <c r="P16">
        <f t="shared" ca="1" si="3"/>
        <v>78</v>
      </c>
      <c r="Q16">
        <f t="shared" ca="1" si="4"/>
        <v>8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-12</v>
      </c>
      <c r="P17">
        <f t="shared" ca="1" si="3"/>
        <v>68</v>
      </c>
      <c r="Q17">
        <f t="shared" ca="1" si="4"/>
        <v>16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10</v>
      </c>
      <c r="M18">
        <f t="shared" ca="1" si="1"/>
        <v>10</v>
      </c>
      <c r="N18">
        <v>80</v>
      </c>
      <c r="O18">
        <f t="shared" ca="1" si="2"/>
        <v>4</v>
      </c>
      <c r="P18">
        <f t="shared" ca="1" si="3"/>
        <v>84</v>
      </c>
      <c r="Q18">
        <f t="shared" ca="1" si="4"/>
        <v>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8</v>
      </c>
      <c r="M19">
        <f t="shared" ca="1" si="1"/>
        <v>8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6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-15</v>
      </c>
      <c r="P20">
        <f t="shared" ca="1" si="3"/>
        <v>65</v>
      </c>
      <c r="Q20">
        <f t="shared" ca="1" si="4"/>
        <v>20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-10</v>
      </c>
      <c r="P21">
        <f t="shared" ca="1" si="3"/>
        <v>70</v>
      </c>
      <c r="Q21">
        <f t="shared" ca="1" si="4"/>
        <v>15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-8</v>
      </c>
      <c r="P22">
        <f t="shared" ca="1" si="3"/>
        <v>72</v>
      </c>
      <c r="Q22">
        <f t="shared" ca="1" si="4"/>
        <v>13</v>
      </c>
    </row>
    <row r="23" spans="1:20" x14ac:dyDescent="0.25">
      <c r="A23" t="s">
        <v>54</v>
      </c>
      <c r="B23" t="s">
        <v>37</v>
      </c>
      <c r="C23">
        <f t="shared" ca="1" si="0"/>
        <v>25</v>
      </c>
      <c r="M23">
        <f t="shared" ca="1" si="1"/>
        <v>25</v>
      </c>
      <c r="N23">
        <v>80</v>
      </c>
      <c r="O23">
        <f t="shared" ca="1" si="2"/>
        <v>13</v>
      </c>
      <c r="P23">
        <f t="shared" ca="1" si="3"/>
        <v>93</v>
      </c>
      <c r="Q23">
        <f t="shared" ca="1" si="4"/>
        <v>1</v>
      </c>
    </row>
  </sheetData>
  <pageMargins left="0.75" right="0.75" top="1" bottom="1" header="0.5" footer="0.5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oglio6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119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-3</v>
      </c>
      <c r="P4">
        <f t="shared" ref="P4:P23" ca="1" si="3">N4+O4</f>
        <v>77</v>
      </c>
      <c r="Q4">
        <f t="shared" ref="Q4:Q23" ca="1" si="4">RANK(P4,$P$4:$P$23,0)</f>
        <v>14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12</v>
      </c>
      <c r="M5">
        <f t="shared" ca="1" si="1"/>
        <v>12</v>
      </c>
      <c r="N5">
        <v>80</v>
      </c>
      <c r="O5">
        <f t="shared" ca="1" si="2"/>
        <v>13</v>
      </c>
      <c r="P5">
        <f t="shared" ca="1" si="3"/>
        <v>93</v>
      </c>
      <c r="Q5">
        <f t="shared" ca="1" si="4"/>
        <v>4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15</v>
      </c>
      <c r="M6">
        <f t="shared" ca="1" si="1"/>
        <v>15</v>
      </c>
      <c r="N6">
        <v>80</v>
      </c>
      <c r="O6">
        <f t="shared" ca="1" si="2"/>
        <v>14</v>
      </c>
      <c r="P6">
        <f t="shared" ca="1" si="3"/>
        <v>94</v>
      </c>
      <c r="Q6">
        <f t="shared" ca="1" si="4"/>
        <v>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-8</v>
      </c>
      <c r="P7">
        <f t="shared" ca="1" si="3"/>
        <v>72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-15</v>
      </c>
      <c r="P8" s="2">
        <f t="shared" ca="1" si="3"/>
        <v>65</v>
      </c>
      <c r="Q8">
        <f t="shared" ca="1" si="4"/>
        <v>19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2</v>
      </c>
      <c r="M9">
        <f t="shared" ca="1" si="1"/>
        <v>2</v>
      </c>
      <c r="N9">
        <v>80</v>
      </c>
      <c r="O9">
        <f t="shared" ca="1" si="2"/>
        <v>3</v>
      </c>
      <c r="P9">
        <f t="shared" ca="1" si="3"/>
        <v>83</v>
      </c>
      <c r="Q9">
        <f t="shared" ca="1" si="4"/>
        <v>9</v>
      </c>
    </row>
    <row r="10" spans="1:20" x14ac:dyDescent="0.25">
      <c r="A10" t="s">
        <v>40</v>
      </c>
      <c r="B10" t="s">
        <v>28</v>
      </c>
      <c r="C10">
        <f t="shared" ca="1" si="0"/>
        <v>8</v>
      </c>
      <c r="M10">
        <f t="shared" ca="1" si="1"/>
        <v>8</v>
      </c>
      <c r="N10">
        <v>80</v>
      </c>
      <c r="O10">
        <f t="shared" ca="1" si="2"/>
        <v>9</v>
      </c>
      <c r="P10">
        <f t="shared" ca="1" si="3"/>
        <v>89</v>
      </c>
      <c r="Q10">
        <f t="shared" ca="1" si="4"/>
        <v>6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13</v>
      </c>
      <c r="P11">
        <f t="shared" ca="1" si="3"/>
        <v>93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15</v>
      </c>
      <c r="P12">
        <f t="shared" ca="1" si="3"/>
        <v>95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4</v>
      </c>
      <c r="M13">
        <f t="shared" ca="1" si="1"/>
        <v>4</v>
      </c>
      <c r="N13">
        <v>80</v>
      </c>
      <c r="O13">
        <f t="shared" ca="1" si="2"/>
        <v>5</v>
      </c>
      <c r="P13">
        <f t="shared" ca="1" si="3"/>
        <v>85</v>
      </c>
      <c r="Q13">
        <f t="shared" ca="1" si="4"/>
        <v>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-1</v>
      </c>
      <c r="P14">
        <f t="shared" ca="1" si="3"/>
        <v>79</v>
      </c>
      <c r="Q14">
        <f t="shared" ca="1" si="4"/>
        <v>12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-15</v>
      </c>
      <c r="P15">
        <f t="shared" ca="1" si="3"/>
        <v>65</v>
      </c>
      <c r="Q15">
        <f t="shared" ca="1" si="4"/>
        <v>19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-11</v>
      </c>
      <c r="P17">
        <f t="shared" ca="1" si="3"/>
        <v>69</v>
      </c>
      <c r="Q17">
        <f t="shared" ca="1" si="4"/>
        <v>18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-2</v>
      </c>
      <c r="P18">
        <f t="shared" ca="1" si="3"/>
        <v>78</v>
      </c>
      <c r="Q18">
        <f t="shared" ca="1" si="4"/>
        <v>13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-3</v>
      </c>
      <c r="P19">
        <f t="shared" ca="1" si="3"/>
        <v>77</v>
      </c>
      <c r="Q19">
        <f t="shared" ca="1" si="4"/>
        <v>14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6</v>
      </c>
      <c r="M20">
        <f t="shared" ca="1" si="1"/>
        <v>6</v>
      </c>
      <c r="N20">
        <v>80</v>
      </c>
      <c r="O20">
        <f t="shared" ca="1" si="2"/>
        <v>6</v>
      </c>
      <c r="P20">
        <f t="shared" ca="1" si="3"/>
        <v>86</v>
      </c>
      <c r="Q20">
        <f t="shared" ca="1" si="4"/>
        <v>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2</v>
      </c>
      <c r="P21">
        <f t="shared" ca="1" si="3"/>
        <v>82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-6</v>
      </c>
      <c r="P22">
        <f t="shared" ca="1" si="3"/>
        <v>74</v>
      </c>
      <c r="Q22">
        <f t="shared" ca="1" si="4"/>
        <v>16</v>
      </c>
    </row>
    <row r="23" spans="1:20" x14ac:dyDescent="0.25">
      <c r="A23" t="s">
        <v>54</v>
      </c>
      <c r="B23" t="s">
        <v>37</v>
      </c>
      <c r="C23">
        <f t="shared" ca="1" si="0"/>
        <v>1</v>
      </c>
      <c r="M23">
        <f t="shared" ca="1" si="1"/>
        <v>1</v>
      </c>
      <c r="N23">
        <v>80</v>
      </c>
      <c r="O23">
        <f t="shared" ca="1" si="2"/>
        <v>2</v>
      </c>
      <c r="P23">
        <f t="shared" ca="1" si="3"/>
        <v>82</v>
      </c>
      <c r="Q23">
        <f t="shared" ca="1" si="4"/>
        <v>10</v>
      </c>
    </row>
  </sheetData>
  <pageMargins left="0.75" right="0.75" top="1" bottom="1" header="0.5" footer="0.5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oglio68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120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2</v>
      </c>
      <c r="M4">
        <f t="shared" ref="M4:M23" ca="1" si="1">SUM(C4:L4)</f>
        <v>2</v>
      </c>
      <c r="N4">
        <v>80</v>
      </c>
      <c r="O4">
        <f t="shared" ref="O4:O23" ca="1" si="2">RANDBETWEEN(-15,15)</f>
        <v>0</v>
      </c>
      <c r="P4">
        <f t="shared" ref="P4:P23" ca="1" si="3">N4+O4</f>
        <v>80</v>
      </c>
      <c r="Q4">
        <f t="shared" ref="Q4:Q23" ca="1" si="4">RANK(P4,$P$4:$P$23,0)</f>
        <v>9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-13</v>
      </c>
      <c r="P5">
        <f t="shared" ca="1" si="3"/>
        <v>67</v>
      </c>
      <c r="Q5">
        <f t="shared" ca="1" si="4"/>
        <v>20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-11</v>
      </c>
      <c r="P6">
        <f t="shared" ca="1" si="3"/>
        <v>69</v>
      </c>
      <c r="Q6">
        <f t="shared" ca="1" si="4"/>
        <v>17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-11</v>
      </c>
      <c r="P7">
        <f t="shared" ca="1" si="3"/>
        <v>69</v>
      </c>
      <c r="Q7">
        <f t="shared" ca="1" si="4"/>
        <v>17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-9</v>
      </c>
      <c r="P8" s="2">
        <f t="shared" ca="1" si="3"/>
        <v>71</v>
      </c>
      <c r="Q8">
        <f t="shared" ca="1" si="4"/>
        <v>15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5</v>
      </c>
      <c r="P9">
        <f t="shared" ca="1" si="3"/>
        <v>85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-10</v>
      </c>
      <c r="P10">
        <f t="shared" ca="1" si="3"/>
        <v>70</v>
      </c>
      <c r="Q10">
        <f t="shared" ca="1" si="4"/>
        <v>16</v>
      </c>
    </row>
    <row r="11" spans="1:20" x14ac:dyDescent="0.25">
      <c r="A11" t="s">
        <v>41</v>
      </c>
      <c r="B11" t="s">
        <v>31</v>
      </c>
      <c r="C11">
        <f t="shared" ca="1" si="0"/>
        <v>6</v>
      </c>
      <c r="M11">
        <f t="shared" ca="1" si="1"/>
        <v>6</v>
      </c>
      <c r="N11">
        <v>80</v>
      </c>
      <c r="O11">
        <f t="shared" ca="1" si="2"/>
        <v>3</v>
      </c>
      <c r="P11">
        <f t="shared" ca="1" si="3"/>
        <v>83</v>
      </c>
      <c r="Q11">
        <f t="shared" ca="1" si="4"/>
        <v>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12</v>
      </c>
      <c r="M12">
        <f t="shared" ca="1" si="1"/>
        <v>12</v>
      </c>
      <c r="N12">
        <v>80</v>
      </c>
      <c r="O12">
        <f t="shared" ca="1" si="2"/>
        <v>6</v>
      </c>
      <c r="P12">
        <f t="shared" ca="1" si="3"/>
        <v>86</v>
      </c>
      <c r="Q12">
        <f t="shared" ca="1" si="4"/>
        <v>4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</v>
      </c>
      <c r="M13">
        <f t="shared" ca="1" si="1"/>
        <v>1</v>
      </c>
      <c r="N13">
        <v>80</v>
      </c>
      <c r="O13">
        <f t="shared" ca="1" si="2"/>
        <v>-1</v>
      </c>
      <c r="P13">
        <f t="shared" ca="1" si="3"/>
        <v>79</v>
      </c>
      <c r="Q13">
        <f t="shared" ca="1" si="4"/>
        <v>10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15</v>
      </c>
      <c r="M14">
        <f t="shared" ca="1" si="1"/>
        <v>15</v>
      </c>
      <c r="N14">
        <v>80</v>
      </c>
      <c r="O14">
        <f t="shared" ca="1" si="2"/>
        <v>9</v>
      </c>
      <c r="P14">
        <f t="shared" ca="1" si="3"/>
        <v>89</v>
      </c>
      <c r="Q14">
        <f t="shared" ca="1" si="4"/>
        <v>3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8</v>
      </c>
      <c r="M15">
        <f t="shared" ca="1" si="1"/>
        <v>8</v>
      </c>
      <c r="N15">
        <v>80</v>
      </c>
      <c r="O15">
        <f t="shared" ca="1" si="2"/>
        <v>4</v>
      </c>
      <c r="P15">
        <f t="shared" ca="1" si="3"/>
        <v>84</v>
      </c>
      <c r="Q15">
        <f t="shared" ca="1" si="4"/>
        <v>6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18</v>
      </c>
      <c r="M16">
        <f t="shared" ca="1" si="1"/>
        <v>18</v>
      </c>
      <c r="N16">
        <v>80</v>
      </c>
      <c r="O16">
        <f t="shared" ca="1" si="2"/>
        <v>10</v>
      </c>
      <c r="P16">
        <f t="shared" ca="1" si="3"/>
        <v>90</v>
      </c>
      <c r="Q16">
        <f t="shared" ca="1" si="4"/>
        <v>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-4</v>
      </c>
      <c r="P17">
        <f t="shared" ca="1" si="3"/>
        <v>76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-8</v>
      </c>
      <c r="P18">
        <f t="shared" ca="1" si="3"/>
        <v>72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25</v>
      </c>
      <c r="M19">
        <f t="shared" ca="1" si="1"/>
        <v>25</v>
      </c>
      <c r="N19">
        <v>80</v>
      </c>
      <c r="O19">
        <f t="shared" ca="1" si="2"/>
        <v>14</v>
      </c>
      <c r="P19">
        <f t="shared" ca="1" si="3"/>
        <v>94</v>
      </c>
      <c r="Q19">
        <f t="shared" ca="1" si="4"/>
        <v>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6</v>
      </c>
      <c r="M20">
        <f t="shared" ca="1" si="1"/>
        <v>6</v>
      </c>
      <c r="N20">
        <v>80</v>
      </c>
      <c r="O20">
        <f t="shared" ca="1" si="2"/>
        <v>3</v>
      </c>
      <c r="P20">
        <f t="shared" ca="1" si="3"/>
        <v>83</v>
      </c>
      <c r="Q20">
        <f t="shared" ca="1" si="4"/>
        <v>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-7</v>
      </c>
      <c r="P21">
        <f t="shared" ca="1" si="3"/>
        <v>73</v>
      </c>
      <c r="Q21">
        <f t="shared" ca="1" si="4"/>
        <v>13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-3</v>
      </c>
      <c r="P22">
        <f t="shared" ca="1" si="3"/>
        <v>77</v>
      </c>
      <c r="Q22">
        <f t="shared" ca="1" si="4"/>
        <v>11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-11</v>
      </c>
      <c r="P23">
        <f t="shared" ca="1" si="3"/>
        <v>69</v>
      </c>
      <c r="Q23">
        <f t="shared" ca="1" si="4"/>
        <v>17</v>
      </c>
    </row>
  </sheetData>
  <pageMargins left="0.75" right="0.75" top="1" bottom="1" header="0.5" footer="0.5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oglio69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121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-5</v>
      </c>
      <c r="P4">
        <f t="shared" ref="P4:P23" ca="1" si="3">N4+O4</f>
        <v>75</v>
      </c>
      <c r="Q4">
        <f t="shared" ref="Q4:Q23" ca="1" si="4">RANK(P4,$P$4:$P$23,0)</f>
        <v>14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</v>
      </c>
      <c r="M5">
        <f t="shared" ca="1" si="1"/>
        <v>1</v>
      </c>
      <c r="N5">
        <v>80</v>
      </c>
      <c r="O5">
        <f t="shared" ca="1" si="2"/>
        <v>-1</v>
      </c>
      <c r="P5">
        <f t="shared" ca="1" si="3"/>
        <v>79</v>
      </c>
      <c r="Q5">
        <f t="shared" ca="1" si="4"/>
        <v>10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25</v>
      </c>
      <c r="M6">
        <f t="shared" ca="1" si="1"/>
        <v>25</v>
      </c>
      <c r="N6">
        <v>80</v>
      </c>
      <c r="O6">
        <f t="shared" ca="1" si="2"/>
        <v>14</v>
      </c>
      <c r="P6">
        <f t="shared" ca="1" si="3"/>
        <v>94</v>
      </c>
      <c r="Q6">
        <f t="shared" ca="1" si="4"/>
        <v>1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-7</v>
      </c>
      <c r="P7">
        <f t="shared" ca="1" si="3"/>
        <v>73</v>
      </c>
      <c r="Q7">
        <f t="shared" ca="1" si="4"/>
        <v>16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6</v>
      </c>
      <c r="M8">
        <f t="shared" ca="1" si="1"/>
        <v>6</v>
      </c>
      <c r="N8">
        <v>80</v>
      </c>
      <c r="O8" s="2">
        <f t="shared" ca="1" si="2"/>
        <v>2</v>
      </c>
      <c r="P8" s="2">
        <f t="shared" ca="1" si="3"/>
        <v>82</v>
      </c>
      <c r="Q8">
        <f t="shared" ca="1" si="4"/>
        <v>7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-7</v>
      </c>
      <c r="P9">
        <f t="shared" ca="1" si="3"/>
        <v>73</v>
      </c>
      <c r="Q9">
        <f t="shared" ca="1" si="4"/>
        <v>16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0</v>
      </c>
      <c r="P10">
        <f t="shared" ca="1" si="3"/>
        <v>80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15</v>
      </c>
      <c r="M11">
        <f t="shared" ca="1" si="1"/>
        <v>15</v>
      </c>
      <c r="N11">
        <v>80</v>
      </c>
      <c r="O11">
        <f t="shared" ca="1" si="2"/>
        <v>9</v>
      </c>
      <c r="P11">
        <f t="shared" ca="1" si="3"/>
        <v>89</v>
      </c>
      <c r="Q11">
        <f t="shared" ca="1" si="4"/>
        <v>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8</v>
      </c>
      <c r="M12">
        <f t="shared" ca="1" si="1"/>
        <v>8</v>
      </c>
      <c r="N12">
        <v>80</v>
      </c>
      <c r="O12">
        <f t="shared" ca="1" si="2"/>
        <v>3</v>
      </c>
      <c r="P12">
        <f t="shared" ca="1" si="3"/>
        <v>83</v>
      </c>
      <c r="Q12">
        <f t="shared" ca="1" si="4"/>
        <v>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-12</v>
      </c>
      <c r="P13">
        <f t="shared" ca="1" si="3"/>
        <v>68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4</v>
      </c>
      <c r="M14">
        <f t="shared" ca="1" si="1"/>
        <v>4</v>
      </c>
      <c r="N14">
        <v>80</v>
      </c>
      <c r="O14">
        <f t="shared" ca="1" si="2"/>
        <v>0</v>
      </c>
      <c r="P14">
        <f t="shared" ca="1" si="3"/>
        <v>80</v>
      </c>
      <c r="Q14">
        <f t="shared" ca="1" si="4"/>
        <v>8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10</v>
      </c>
      <c r="P15">
        <f t="shared" ca="1" si="3"/>
        <v>90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-2</v>
      </c>
      <c r="P16">
        <f t="shared" ca="1" si="3"/>
        <v>78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-5</v>
      </c>
      <c r="P17">
        <f t="shared" ca="1" si="3"/>
        <v>75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-10</v>
      </c>
      <c r="P18">
        <f t="shared" ca="1" si="3"/>
        <v>70</v>
      </c>
      <c r="Q18">
        <f t="shared" ca="1" si="4"/>
        <v>18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-4</v>
      </c>
      <c r="P19">
        <f t="shared" ca="1" si="3"/>
        <v>76</v>
      </c>
      <c r="Q19">
        <f t="shared" ca="1" si="4"/>
        <v>13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12</v>
      </c>
      <c r="M20">
        <f t="shared" ca="1" si="1"/>
        <v>12</v>
      </c>
      <c r="N20">
        <v>80</v>
      </c>
      <c r="O20">
        <f t="shared" ca="1" si="2"/>
        <v>7</v>
      </c>
      <c r="P20">
        <f t="shared" ca="1" si="3"/>
        <v>87</v>
      </c>
      <c r="Q20">
        <f t="shared" ca="1" si="4"/>
        <v>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7</v>
      </c>
      <c r="P21">
        <f t="shared" ca="1" si="3"/>
        <v>87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-15</v>
      </c>
      <c r="P22">
        <f t="shared" ca="1" si="3"/>
        <v>65</v>
      </c>
      <c r="Q22">
        <f t="shared" ca="1" si="4"/>
        <v>20</v>
      </c>
    </row>
    <row r="23" spans="1:20" x14ac:dyDescent="0.25">
      <c r="A23" t="s">
        <v>54</v>
      </c>
      <c r="B23" t="s">
        <v>37</v>
      </c>
      <c r="C23">
        <f t="shared" ca="1" si="0"/>
        <v>1</v>
      </c>
      <c r="M23">
        <f t="shared" ca="1" si="1"/>
        <v>1</v>
      </c>
      <c r="N23">
        <v>80</v>
      </c>
      <c r="O23">
        <f t="shared" ca="1" si="2"/>
        <v>-1</v>
      </c>
      <c r="P23">
        <f t="shared" ca="1" si="3"/>
        <v>79</v>
      </c>
      <c r="Q23">
        <f t="shared" ca="1" si="4"/>
        <v>10</v>
      </c>
    </row>
  </sheetData>
  <pageMargins left="0.75" right="0.75" top="1" bottom="1" header="0.5" footer="0.5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oglio70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122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-10</v>
      </c>
      <c r="P4">
        <f t="shared" ref="P4:P23" ca="1" si="3">N4+O4</f>
        <v>70</v>
      </c>
      <c r="Q4">
        <f t="shared" ref="Q4:Q23" ca="1" si="4">RANK(P4,$P$4:$P$23,0)</f>
        <v>17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12</v>
      </c>
      <c r="M5">
        <f t="shared" ca="1" si="1"/>
        <v>12</v>
      </c>
      <c r="N5">
        <v>80</v>
      </c>
      <c r="O5">
        <f t="shared" ca="1" si="2"/>
        <v>11</v>
      </c>
      <c r="P5">
        <f t="shared" ca="1" si="3"/>
        <v>91</v>
      </c>
      <c r="Q5">
        <f t="shared" ca="1" si="4"/>
        <v>4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10</v>
      </c>
      <c r="P6">
        <f t="shared" ca="1" si="3"/>
        <v>90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4</v>
      </c>
      <c r="M7">
        <f t="shared" ca="1" si="1"/>
        <v>4</v>
      </c>
      <c r="N7">
        <v>80</v>
      </c>
      <c r="O7" s="3">
        <f t="shared" ca="1" si="2"/>
        <v>8</v>
      </c>
      <c r="P7">
        <f t="shared" ca="1" si="3"/>
        <v>88</v>
      </c>
      <c r="Q7">
        <f t="shared" ca="1" si="4"/>
        <v>8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</v>
      </c>
      <c r="M8">
        <f t="shared" ca="1" si="1"/>
        <v>2</v>
      </c>
      <c r="N8">
        <v>80</v>
      </c>
      <c r="O8" s="2">
        <f t="shared" ca="1" si="2"/>
        <v>7</v>
      </c>
      <c r="P8" s="2">
        <f t="shared" ca="1" si="3"/>
        <v>87</v>
      </c>
      <c r="Q8">
        <f t="shared" ca="1" si="4"/>
        <v>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12</v>
      </c>
      <c r="M9">
        <f t="shared" ca="1" si="1"/>
        <v>12</v>
      </c>
      <c r="N9">
        <v>80</v>
      </c>
      <c r="O9">
        <f t="shared" ca="1" si="2"/>
        <v>11</v>
      </c>
      <c r="P9">
        <f t="shared" ca="1" si="3"/>
        <v>91</v>
      </c>
      <c r="Q9">
        <f t="shared" ca="1" si="4"/>
        <v>4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-15</v>
      </c>
      <c r="P10">
        <f t="shared" ca="1" si="3"/>
        <v>65</v>
      </c>
      <c r="Q10">
        <f t="shared" ca="1" si="4"/>
        <v>19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4</v>
      </c>
      <c r="P11">
        <f t="shared" ca="1" si="3"/>
        <v>84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14</v>
      </c>
      <c r="P12">
        <f t="shared" ca="1" si="3"/>
        <v>94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-7</v>
      </c>
      <c r="P13">
        <f t="shared" ca="1" si="3"/>
        <v>73</v>
      </c>
      <c r="Q13">
        <f t="shared" ca="1" si="4"/>
        <v>15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</v>
      </c>
      <c r="M14">
        <f t="shared" ca="1" si="1"/>
        <v>2</v>
      </c>
      <c r="N14">
        <v>80</v>
      </c>
      <c r="O14">
        <f t="shared" ca="1" si="2"/>
        <v>7</v>
      </c>
      <c r="P14">
        <f t="shared" ca="1" si="3"/>
        <v>87</v>
      </c>
      <c r="Q14">
        <f t="shared" ca="1" si="4"/>
        <v>9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-10</v>
      </c>
      <c r="P15">
        <f t="shared" ca="1" si="3"/>
        <v>70</v>
      </c>
      <c r="Q15">
        <f t="shared" ca="1" si="4"/>
        <v>17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-7</v>
      </c>
      <c r="P16">
        <f t="shared" ca="1" si="3"/>
        <v>73</v>
      </c>
      <c r="Q16">
        <f t="shared" ca="1" si="4"/>
        <v>15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3</v>
      </c>
      <c r="P17">
        <f t="shared" ca="1" si="3"/>
        <v>83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18</v>
      </c>
      <c r="M18">
        <f t="shared" ca="1" si="1"/>
        <v>18</v>
      </c>
      <c r="N18">
        <v>80</v>
      </c>
      <c r="O18">
        <f t="shared" ca="1" si="2"/>
        <v>13</v>
      </c>
      <c r="P18">
        <f t="shared" ca="1" si="3"/>
        <v>93</v>
      </c>
      <c r="Q18">
        <f t="shared" ca="1" si="4"/>
        <v>2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15</v>
      </c>
      <c r="M19">
        <f t="shared" ca="1" si="1"/>
        <v>15</v>
      </c>
      <c r="N19">
        <v>80</v>
      </c>
      <c r="O19">
        <f t="shared" ca="1" si="2"/>
        <v>12</v>
      </c>
      <c r="P19">
        <f t="shared" ca="1" si="3"/>
        <v>92</v>
      </c>
      <c r="Q19">
        <f t="shared" ca="1" si="4"/>
        <v>3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5</v>
      </c>
      <c r="P20">
        <f t="shared" ca="1" si="3"/>
        <v>85</v>
      </c>
      <c r="Q20">
        <f t="shared" ca="1" si="4"/>
        <v>11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11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-15</v>
      </c>
      <c r="P22">
        <f t="shared" ca="1" si="3"/>
        <v>65</v>
      </c>
      <c r="Q22">
        <f t="shared" ca="1" si="4"/>
        <v>19</v>
      </c>
    </row>
    <row r="23" spans="1:20" x14ac:dyDescent="0.25">
      <c r="A23" t="s">
        <v>54</v>
      </c>
      <c r="B23" t="s">
        <v>37</v>
      </c>
      <c r="C23">
        <f t="shared" ca="1" si="0"/>
        <v>12</v>
      </c>
      <c r="M23">
        <f t="shared" ca="1" si="1"/>
        <v>12</v>
      </c>
      <c r="N23">
        <v>80</v>
      </c>
      <c r="O23">
        <f t="shared" ca="1" si="2"/>
        <v>11</v>
      </c>
      <c r="P23">
        <f t="shared" ca="1" si="3"/>
        <v>91</v>
      </c>
      <c r="Q23">
        <f t="shared" ca="1" si="4"/>
        <v>4</v>
      </c>
    </row>
  </sheetData>
  <pageMargins left="0.75" right="0.75" top="1" bottom="1" header="0.5" footer="0.5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oglio71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123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-5</v>
      </c>
      <c r="P4">
        <f t="shared" ref="P4:P23" ca="1" si="3">N4+O4</f>
        <v>75</v>
      </c>
      <c r="Q4">
        <f t="shared" ref="Q4:Q23" ca="1" si="4">RANK(P4,$P$4:$P$23,0)</f>
        <v>16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10</v>
      </c>
      <c r="M5">
        <f t="shared" ca="1" si="1"/>
        <v>10</v>
      </c>
      <c r="N5">
        <v>80</v>
      </c>
      <c r="O5">
        <f t="shared" ca="1" si="2"/>
        <v>11</v>
      </c>
      <c r="P5">
        <f t="shared" ca="1" si="3"/>
        <v>91</v>
      </c>
      <c r="Q5">
        <f t="shared" ca="1" si="4"/>
        <v>5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10</v>
      </c>
      <c r="M6">
        <f t="shared" ca="1" si="1"/>
        <v>10</v>
      </c>
      <c r="N6">
        <v>80</v>
      </c>
      <c r="O6">
        <f t="shared" ca="1" si="2"/>
        <v>11</v>
      </c>
      <c r="P6">
        <f t="shared" ca="1" si="3"/>
        <v>91</v>
      </c>
      <c r="Q6">
        <f t="shared" ca="1" si="4"/>
        <v>5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6</v>
      </c>
      <c r="M7">
        <f t="shared" ca="1" si="1"/>
        <v>6</v>
      </c>
      <c r="N7">
        <v>80</v>
      </c>
      <c r="O7" s="3">
        <f t="shared" ca="1" si="2"/>
        <v>9</v>
      </c>
      <c r="P7">
        <f t="shared" ca="1" si="3"/>
        <v>89</v>
      </c>
      <c r="Q7">
        <f t="shared" ca="1" si="4"/>
        <v>7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-12</v>
      </c>
      <c r="P8" s="2">
        <f t="shared" ca="1" si="3"/>
        <v>68</v>
      </c>
      <c r="Q8">
        <f t="shared" ca="1" si="4"/>
        <v>20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4</v>
      </c>
      <c r="M9">
        <f t="shared" ca="1" si="1"/>
        <v>4</v>
      </c>
      <c r="N9">
        <v>80</v>
      </c>
      <c r="O9">
        <f t="shared" ca="1" si="2"/>
        <v>8</v>
      </c>
      <c r="P9">
        <f t="shared" ca="1" si="3"/>
        <v>88</v>
      </c>
      <c r="Q9">
        <f t="shared" ca="1" si="4"/>
        <v>8</v>
      </c>
    </row>
    <row r="10" spans="1:20" x14ac:dyDescent="0.25">
      <c r="A10" t="s">
        <v>40</v>
      </c>
      <c r="B10" t="s">
        <v>28</v>
      </c>
      <c r="C10">
        <f t="shared" ca="1" si="0"/>
        <v>15</v>
      </c>
      <c r="M10">
        <f t="shared" ca="1" si="1"/>
        <v>15</v>
      </c>
      <c r="N10">
        <v>80</v>
      </c>
      <c r="O10">
        <f t="shared" ca="1" si="2"/>
        <v>14</v>
      </c>
      <c r="P10">
        <f t="shared" ca="1" si="3"/>
        <v>94</v>
      </c>
      <c r="Q10">
        <f t="shared" ca="1" si="4"/>
        <v>3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12</v>
      </c>
      <c r="P11">
        <f t="shared" ca="1" si="3"/>
        <v>92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1</v>
      </c>
      <c r="P12">
        <f t="shared" ca="1" si="3"/>
        <v>81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-11</v>
      </c>
      <c r="P13">
        <f t="shared" ca="1" si="3"/>
        <v>69</v>
      </c>
      <c r="Q13">
        <f t="shared" ca="1" si="4"/>
        <v>19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-6</v>
      </c>
      <c r="P14">
        <f t="shared" ca="1" si="3"/>
        <v>74</v>
      </c>
      <c r="Q14">
        <f t="shared" ca="1" si="4"/>
        <v>17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25</v>
      </c>
      <c r="M15">
        <f t="shared" ca="1" si="1"/>
        <v>25</v>
      </c>
      <c r="N15">
        <v>80</v>
      </c>
      <c r="O15">
        <f t="shared" ca="1" si="2"/>
        <v>15</v>
      </c>
      <c r="P15">
        <f t="shared" ca="1" si="3"/>
        <v>95</v>
      </c>
      <c r="Q15">
        <f t="shared" ca="1" si="4"/>
        <v>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-2</v>
      </c>
      <c r="P16">
        <f t="shared" ca="1" si="3"/>
        <v>78</v>
      </c>
      <c r="Q16">
        <f t="shared" ca="1" si="4"/>
        <v>15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1</v>
      </c>
      <c r="M17">
        <f t="shared" ca="1" si="1"/>
        <v>1</v>
      </c>
      <c r="N17">
        <v>80</v>
      </c>
      <c r="O17">
        <f t="shared" ca="1" si="2"/>
        <v>5</v>
      </c>
      <c r="P17">
        <f t="shared" ca="1" si="3"/>
        <v>85</v>
      </c>
      <c r="Q17">
        <f t="shared" ca="1" si="4"/>
        <v>10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0</v>
      </c>
      <c r="P18">
        <f t="shared" ca="1" si="3"/>
        <v>80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3</v>
      </c>
      <c r="P19">
        <f t="shared" ca="1" si="3"/>
        <v>83</v>
      </c>
      <c r="Q19">
        <f t="shared" ca="1" si="4"/>
        <v>11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-6</v>
      </c>
      <c r="P20">
        <f t="shared" ca="1" si="3"/>
        <v>74</v>
      </c>
      <c r="Q20">
        <f t="shared" ca="1" si="4"/>
        <v>17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25</v>
      </c>
      <c r="M21">
        <f t="shared" ca="1" si="1"/>
        <v>25</v>
      </c>
      <c r="N21">
        <v>80</v>
      </c>
      <c r="O21">
        <f t="shared" ca="1" si="2"/>
        <v>15</v>
      </c>
      <c r="P21">
        <f t="shared" ca="1" si="3"/>
        <v>95</v>
      </c>
      <c r="Q21">
        <f t="shared" ca="1" si="4"/>
        <v>1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2</v>
      </c>
      <c r="P22">
        <f t="shared" ca="1" si="3"/>
        <v>82</v>
      </c>
      <c r="Q22">
        <f t="shared" ca="1" si="4"/>
        <v>12</v>
      </c>
    </row>
    <row r="23" spans="1:20" x14ac:dyDescent="0.25">
      <c r="A23" t="s">
        <v>54</v>
      </c>
      <c r="B23" t="s">
        <v>37</v>
      </c>
      <c r="C23">
        <f t="shared" ca="1" si="0"/>
        <v>2</v>
      </c>
      <c r="M23">
        <f t="shared" ca="1" si="1"/>
        <v>2</v>
      </c>
      <c r="N23">
        <v>80</v>
      </c>
      <c r="O23">
        <f t="shared" ca="1" si="2"/>
        <v>7</v>
      </c>
      <c r="P23">
        <f t="shared" ca="1" si="3"/>
        <v>87</v>
      </c>
      <c r="Q23">
        <f t="shared" ca="1" si="4"/>
        <v>9</v>
      </c>
    </row>
  </sheetData>
  <pageMargins left="0.75" right="0.75" top="1" bottom="1" header="0.5" footer="0.5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oglio72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124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-3</v>
      </c>
      <c r="P4">
        <f t="shared" ref="P4:P23" ca="1" si="3">N4+O4</f>
        <v>77</v>
      </c>
      <c r="Q4">
        <f t="shared" ref="Q4:Q23" ca="1" si="4">RANK(P4,$P$4:$P$23,0)</f>
        <v>13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-2</v>
      </c>
      <c r="P5">
        <f t="shared" ca="1" si="3"/>
        <v>78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-3</v>
      </c>
      <c r="P6">
        <f t="shared" ca="1" si="3"/>
        <v>77</v>
      </c>
      <c r="Q6">
        <f t="shared" ca="1" si="4"/>
        <v>13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25</v>
      </c>
      <c r="M7">
        <f t="shared" ca="1" si="1"/>
        <v>25</v>
      </c>
      <c r="N7">
        <v>80</v>
      </c>
      <c r="O7" s="3">
        <f t="shared" ca="1" si="2"/>
        <v>15</v>
      </c>
      <c r="P7">
        <f t="shared" ca="1" si="3"/>
        <v>95</v>
      </c>
      <c r="Q7">
        <f t="shared" ca="1" si="4"/>
        <v>1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-11</v>
      </c>
      <c r="P8" s="2">
        <f t="shared" ca="1" si="3"/>
        <v>69</v>
      </c>
      <c r="Q8">
        <f t="shared" ca="1" si="4"/>
        <v>18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-1</v>
      </c>
      <c r="P9">
        <f t="shared" ca="1" si="3"/>
        <v>79</v>
      </c>
      <c r="Q9">
        <f t="shared" ca="1" si="4"/>
        <v>11</v>
      </c>
    </row>
    <row r="10" spans="1:20" x14ac:dyDescent="0.25">
      <c r="A10" t="s">
        <v>40</v>
      </c>
      <c r="B10" t="s">
        <v>28</v>
      </c>
      <c r="C10">
        <f t="shared" ca="1" si="0"/>
        <v>15</v>
      </c>
      <c r="M10">
        <f t="shared" ca="1" si="1"/>
        <v>15</v>
      </c>
      <c r="N10">
        <v>80</v>
      </c>
      <c r="O10">
        <f t="shared" ca="1" si="2"/>
        <v>14</v>
      </c>
      <c r="P10">
        <f t="shared" ca="1" si="3"/>
        <v>94</v>
      </c>
      <c r="Q10">
        <f t="shared" ca="1" si="4"/>
        <v>3</v>
      </c>
    </row>
    <row r="11" spans="1:20" x14ac:dyDescent="0.25">
      <c r="A11" t="s">
        <v>41</v>
      </c>
      <c r="B11" t="s">
        <v>31</v>
      </c>
      <c r="C11">
        <f t="shared" ca="1" si="0"/>
        <v>6</v>
      </c>
      <c r="M11">
        <f t="shared" ca="1" si="1"/>
        <v>6</v>
      </c>
      <c r="N11">
        <v>80</v>
      </c>
      <c r="O11">
        <f t="shared" ca="1" si="2"/>
        <v>6</v>
      </c>
      <c r="P11">
        <f t="shared" ca="1" si="3"/>
        <v>86</v>
      </c>
      <c r="Q11">
        <f t="shared" ca="1" si="4"/>
        <v>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-14</v>
      </c>
      <c r="P12">
        <f t="shared" ca="1" si="3"/>
        <v>66</v>
      </c>
      <c r="Q12">
        <f t="shared" ca="1" si="4"/>
        <v>20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10</v>
      </c>
      <c r="M13">
        <f t="shared" ca="1" si="1"/>
        <v>10</v>
      </c>
      <c r="N13">
        <v>80</v>
      </c>
      <c r="O13">
        <f t="shared" ca="1" si="2"/>
        <v>11</v>
      </c>
      <c r="P13">
        <f t="shared" ca="1" si="3"/>
        <v>91</v>
      </c>
      <c r="Q13">
        <f t="shared" ca="1" si="4"/>
        <v>5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0</v>
      </c>
      <c r="M14">
        <f t="shared" ca="1" si="1"/>
        <v>0</v>
      </c>
      <c r="N14">
        <v>80</v>
      </c>
      <c r="O14">
        <f t="shared" ca="1" si="2"/>
        <v>-6</v>
      </c>
      <c r="P14">
        <f t="shared" ca="1" si="3"/>
        <v>74</v>
      </c>
      <c r="Q14">
        <f t="shared" ca="1" si="4"/>
        <v>15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-11</v>
      </c>
      <c r="P15">
        <f t="shared" ca="1" si="3"/>
        <v>69</v>
      </c>
      <c r="Q15">
        <f t="shared" ca="1" si="4"/>
        <v>18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25</v>
      </c>
      <c r="M16">
        <f t="shared" ca="1" si="1"/>
        <v>25</v>
      </c>
      <c r="N16">
        <v>80</v>
      </c>
      <c r="O16">
        <f t="shared" ca="1" si="2"/>
        <v>15</v>
      </c>
      <c r="P16">
        <f t="shared" ca="1" si="3"/>
        <v>95</v>
      </c>
      <c r="Q16">
        <f t="shared" ca="1" si="4"/>
        <v>1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-7</v>
      </c>
      <c r="P17">
        <f t="shared" ca="1" si="3"/>
        <v>73</v>
      </c>
      <c r="Q17">
        <f t="shared" ca="1" si="4"/>
        <v>17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10</v>
      </c>
      <c r="M18">
        <f t="shared" ca="1" si="1"/>
        <v>10</v>
      </c>
      <c r="N18">
        <v>80</v>
      </c>
      <c r="O18">
        <f t="shared" ca="1" si="2"/>
        <v>11</v>
      </c>
      <c r="P18">
        <f t="shared" ca="1" si="3"/>
        <v>91</v>
      </c>
      <c r="Q18">
        <f t="shared" ca="1" si="4"/>
        <v>5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</v>
      </c>
      <c r="M19">
        <f t="shared" ca="1" si="1"/>
        <v>1</v>
      </c>
      <c r="N19">
        <v>80</v>
      </c>
      <c r="O19">
        <f t="shared" ca="1" si="2"/>
        <v>4</v>
      </c>
      <c r="P19">
        <f t="shared" ca="1" si="3"/>
        <v>84</v>
      </c>
      <c r="Q19">
        <f t="shared" ca="1" si="4"/>
        <v>10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-6</v>
      </c>
      <c r="P20">
        <f t="shared" ca="1" si="3"/>
        <v>74</v>
      </c>
      <c r="Q20">
        <f t="shared" ca="1" si="4"/>
        <v>15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4</v>
      </c>
      <c r="M21">
        <f t="shared" ca="1" si="1"/>
        <v>4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8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4</v>
      </c>
      <c r="M22">
        <f t="shared" ca="1" si="1"/>
        <v>4</v>
      </c>
      <c r="N22">
        <v>80</v>
      </c>
      <c r="O22">
        <f t="shared" ca="1" si="2"/>
        <v>5</v>
      </c>
      <c r="P22">
        <f t="shared" ca="1" si="3"/>
        <v>85</v>
      </c>
      <c r="Q22">
        <f t="shared" ca="1" si="4"/>
        <v>8</v>
      </c>
    </row>
    <row r="23" spans="1:20" x14ac:dyDescent="0.25">
      <c r="A23" t="s">
        <v>54</v>
      </c>
      <c r="B23" t="s">
        <v>37</v>
      </c>
      <c r="C23">
        <f t="shared" ca="1" si="0"/>
        <v>12</v>
      </c>
      <c r="M23">
        <f t="shared" ca="1" si="1"/>
        <v>12</v>
      </c>
      <c r="N23">
        <v>80</v>
      </c>
      <c r="O23">
        <f t="shared" ca="1" si="2"/>
        <v>12</v>
      </c>
      <c r="P23">
        <f t="shared" ca="1" si="3"/>
        <v>92</v>
      </c>
      <c r="Q23">
        <f t="shared" ca="1" si="4"/>
        <v>4</v>
      </c>
    </row>
  </sheetData>
  <pageMargins left="0.75" right="0.75" top="1" bottom="1" header="0.5" footer="0.5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Foglio73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125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4</v>
      </c>
      <c r="M4">
        <f t="shared" ref="M4:M23" ca="1" si="1">SUM(C4:L4)</f>
        <v>4</v>
      </c>
      <c r="N4">
        <v>80</v>
      </c>
      <c r="O4">
        <f t="shared" ref="O4:O23" ca="1" si="2">RANDBETWEEN(-15,15)</f>
        <v>-3</v>
      </c>
      <c r="P4">
        <f t="shared" ref="P4:P23" ca="1" si="3">N4+O4</f>
        <v>77</v>
      </c>
      <c r="Q4">
        <f t="shared" ref="Q4:Q23" ca="1" si="4">RANK(P4,$P$4:$P$23,0)</f>
        <v>8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-6</v>
      </c>
      <c r="P5">
        <f t="shared" ca="1" si="3"/>
        <v>74</v>
      </c>
      <c r="Q5">
        <f t="shared" ca="1" si="4"/>
        <v>13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-6</v>
      </c>
      <c r="P6">
        <f t="shared" ca="1" si="3"/>
        <v>74</v>
      </c>
      <c r="Q6">
        <f t="shared" ca="1" si="4"/>
        <v>13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1</v>
      </c>
      <c r="M7">
        <f t="shared" ca="1" si="1"/>
        <v>1</v>
      </c>
      <c r="N7">
        <v>80</v>
      </c>
      <c r="O7" s="3">
        <f t="shared" ca="1" si="2"/>
        <v>-4</v>
      </c>
      <c r="P7">
        <f t="shared" ca="1" si="3"/>
        <v>76</v>
      </c>
      <c r="Q7">
        <f t="shared" ca="1" si="4"/>
        <v>10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-14</v>
      </c>
      <c r="P8" s="2">
        <f t="shared" ca="1" si="3"/>
        <v>66</v>
      </c>
      <c r="Q8">
        <f t="shared" ca="1" si="4"/>
        <v>20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-6</v>
      </c>
      <c r="P9">
        <f t="shared" ca="1" si="3"/>
        <v>74</v>
      </c>
      <c r="Q9">
        <f t="shared" ca="1" si="4"/>
        <v>13</v>
      </c>
    </row>
    <row r="10" spans="1:20" x14ac:dyDescent="0.25">
      <c r="A10" t="s">
        <v>40</v>
      </c>
      <c r="B10" t="s">
        <v>28</v>
      </c>
      <c r="C10">
        <f t="shared" ca="1" si="0"/>
        <v>15</v>
      </c>
      <c r="M10">
        <f t="shared" ca="1" si="1"/>
        <v>15</v>
      </c>
      <c r="N10">
        <v>80</v>
      </c>
      <c r="O10">
        <f t="shared" ca="1" si="2"/>
        <v>6</v>
      </c>
      <c r="P10">
        <f t="shared" ca="1" si="3"/>
        <v>86</v>
      </c>
      <c r="Q10">
        <f t="shared" ca="1" si="4"/>
        <v>3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-6</v>
      </c>
      <c r="P11">
        <f t="shared" ca="1" si="3"/>
        <v>74</v>
      </c>
      <c r="Q11">
        <f t="shared" ca="1" si="4"/>
        <v>13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25</v>
      </c>
      <c r="M12">
        <f t="shared" ca="1" si="1"/>
        <v>25</v>
      </c>
      <c r="N12">
        <v>80</v>
      </c>
      <c r="O12">
        <f t="shared" ca="1" si="2"/>
        <v>10</v>
      </c>
      <c r="P12">
        <f t="shared" ca="1" si="3"/>
        <v>90</v>
      </c>
      <c r="Q12">
        <f t="shared" ca="1" si="4"/>
        <v>1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4</v>
      </c>
      <c r="M13">
        <f t="shared" ca="1" si="1"/>
        <v>4</v>
      </c>
      <c r="N13">
        <v>80</v>
      </c>
      <c r="O13">
        <f t="shared" ca="1" si="2"/>
        <v>-3</v>
      </c>
      <c r="P13">
        <f t="shared" ca="1" si="3"/>
        <v>77</v>
      </c>
      <c r="Q13">
        <f t="shared" ca="1" si="4"/>
        <v>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12</v>
      </c>
      <c r="M14">
        <f t="shared" ca="1" si="1"/>
        <v>12</v>
      </c>
      <c r="N14">
        <v>80</v>
      </c>
      <c r="O14">
        <f t="shared" ca="1" si="2"/>
        <v>1</v>
      </c>
      <c r="P14">
        <f t="shared" ca="1" si="3"/>
        <v>81</v>
      </c>
      <c r="Q14">
        <f t="shared" ca="1" si="4"/>
        <v>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-11</v>
      </c>
      <c r="P15">
        <f t="shared" ca="1" si="3"/>
        <v>69</v>
      </c>
      <c r="Q15">
        <f t="shared" ca="1" si="4"/>
        <v>19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-5</v>
      </c>
      <c r="P16">
        <f t="shared" ca="1" si="3"/>
        <v>75</v>
      </c>
      <c r="Q16">
        <f t="shared" ca="1" si="4"/>
        <v>12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6</v>
      </c>
      <c r="M17">
        <f t="shared" ca="1" si="1"/>
        <v>6</v>
      </c>
      <c r="N17">
        <v>80</v>
      </c>
      <c r="O17">
        <f t="shared" ca="1" si="2"/>
        <v>-2</v>
      </c>
      <c r="P17">
        <f t="shared" ca="1" si="3"/>
        <v>78</v>
      </c>
      <c r="Q17">
        <f t="shared" ca="1" si="4"/>
        <v>7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-7</v>
      </c>
      <c r="P18">
        <f t="shared" ca="1" si="3"/>
        <v>73</v>
      </c>
      <c r="Q18">
        <f t="shared" ca="1" si="4"/>
        <v>17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12</v>
      </c>
      <c r="M19">
        <f t="shared" ca="1" si="1"/>
        <v>12</v>
      </c>
      <c r="N19">
        <v>80</v>
      </c>
      <c r="O19">
        <f t="shared" ca="1" si="2"/>
        <v>1</v>
      </c>
      <c r="P19">
        <f t="shared" ca="1" si="3"/>
        <v>81</v>
      </c>
      <c r="Q19">
        <f t="shared" ca="1" si="4"/>
        <v>4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12</v>
      </c>
      <c r="M20">
        <f t="shared" ca="1" si="1"/>
        <v>12</v>
      </c>
      <c r="N20">
        <v>80</v>
      </c>
      <c r="O20">
        <f t="shared" ca="1" si="2"/>
        <v>1</v>
      </c>
      <c r="P20">
        <f t="shared" ca="1" si="3"/>
        <v>81</v>
      </c>
      <c r="Q20">
        <f t="shared" ca="1" si="4"/>
        <v>4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</v>
      </c>
      <c r="M21">
        <f t="shared" ca="1" si="1"/>
        <v>1</v>
      </c>
      <c r="N21">
        <v>80</v>
      </c>
      <c r="O21">
        <f t="shared" ca="1" si="2"/>
        <v>-4</v>
      </c>
      <c r="P21">
        <f t="shared" ca="1" si="3"/>
        <v>76</v>
      </c>
      <c r="Q21">
        <f t="shared" ca="1" si="4"/>
        <v>10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-8</v>
      </c>
      <c r="P22">
        <f t="shared" ca="1" si="3"/>
        <v>72</v>
      </c>
      <c r="Q22">
        <f t="shared" ca="1" si="4"/>
        <v>18</v>
      </c>
    </row>
    <row r="23" spans="1:20" x14ac:dyDescent="0.25">
      <c r="A23" t="s">
        <v>54</v>
      </c>
      <c r="B23" t="s">
        <v>37</v>
      </c>
      <c r="C23">
        <f t="shared" ca="1" si="0"/>
        <v>25</v>
      </c>
      <c r="M23">
        <f t="shared" ca="1" si="1"/>
        <v>25</v>
      </c>
      <c r="N23">
        <v>80</v>
      </c>
      <c r="O23">
        <f t="shared" ca="1" si="2"/>
        <v>10</v>
      </c>
      <c r="P23">
        <f t="shared" ca="1" si="3"/>
        <v>90</v>
      </c>
      <c r="Q23">
        <f t="shared" ca="1" si="4"/>
        <v>1</v>
      </c>
    </row>
  </sheetData>
  <pageMargins left="0.75" right="0.75" top="1" bottom="1" header="0.5" footer="0.5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oglio74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126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0</v>
      </c>
      <c r="M4">
        <f t="shared" ref="M4:M23" ca="1" si="1">SUM(C4:L4)</f>
        <v>0</v>
      </c>
      <c r="N4">
        <v>80</v>
      </c>
      <c r="O4">
        <f t="shared" ref="O4:O23" ca="1" si="2">RANDBETWEEN(-15,15)</f>
        <v>-6</v>
      </c>
      <c r="P4">
        <f t="shared" ref="P4:P23" ca="1" si="3">N4+O4</f>
        <v>74</v>
      </c>
      <c r="Q4">
        <f t="shared" ref="Q4:Q23" ca="1" si="4">RANK(P4,$P$4:$P$23,0)</f>
        <v>14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-5</v>
      </c>
      <c r="P5">
        <f t="shared" ca="1" si="3"/>
        <v>75</v>
      </c>
      <c r="Q5">
        <f t="shared" ca="1" si="4"/>
        <v>12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2</v>
      </c>
      <c r="P6">
        <f t="shared" ca="1" si="3"/>
        <v>82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4</v>
      </c>
      <c r="M7">
        <f t="shared" ca="1" si="1"/>
        <v>4</v>
      </c>
      <c r="N7">
        <v>80</v>
      </c>
      <c r="O7" s="3">
        <f t="shared" ca="1" si="2"/>
        <v>1</v>
      </c>
      <c r="P7">
        <f t="shared" ca="1" si="3"/>
        <v>81</v>
      </c>
      <c r="Q7">
        <f t="shared" ca="1" si="4"/>
        <v>8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18</v>
      </c>
      <c r="M8">
        <f t="shared" ca="1" si="1"/>
        <v>18</v>
      </c>
      <c r="N8">
        <v>80</v>
      </c>
      <c r="O8" s="2">
        <f t="shared" ca="1" si="2"/>
        <v>8</v>
      </c>
      <c r="P8" s="2">
        <f t="shared" ca="1" si="3"/>
        <v>88</v>
      </c>
      <c r="Q8">
        <f t="shared" ca="1" si="4"/>
        <v>2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0</v>
      </c>
      <c r="M9">
        <f t="shared" ca="1" si="1"/>
        <v>0</v>
      </c>
      <c r="N9">
        <v>80</v>
      </c>
      <c r="O9">
        <f t="shared" ca="1" si="2"/>
        <v>-6</v>
      </c>
      <c r="P9">
        <f t="shared" ca="1" si="3"/>
        <v>74</v>
      </c>
      <c r="Q9">
        <f t="shared" ca="1" si="4"/>
        <v>14</v>
      </c>
    </row>
    <row r="10" spans="1:20" x14ac:dyDescent="0.25">
      <c r="A10" t="s">
        <v>40</v>
      </c>
      <c r="B10" t="s">
        <v>28</v>
      </c>
      <c r="C10">
        <f t="shared" ca="1" si="0"/>
        <v>10</v>
      </c>
      <c r="M10">
        <f t="shared" ca="1" si="1"/>
        <v>10</v>
      </c>
      <c r="N10">
        <v>80</v>
      </c>
      <c r="O10">
        <f t="shared" ca="1" si="2"/>
        <v>3</v>
      </c>
      <c r="P10">
        <f t="shared" ca="1" si="3"/>
        <v>83</v>
      </c>
      <c r="Q10">
        <f t="shared" ca="1" si="4"/>
        <v>5</v>
      </c>
    </row>
    <row r="11" spans="1:20" x14ac:dyDescent="0.25">
      <c r="A11" t="s">
        <v>41</v>
      </c>
      <c r="B11" t="s">
        <v>31</v>
      </c>
      <c r="C11">
        <f t="shared" ca="1" si="0"/>
        <v>12</v>
      </c>
      <c r="M11">
        <f t="shared" ca="1" si="1"/>
        <v>12</v>
      </c>
      <c r="N11">
        <v>80</v>
      </c>
      <c r="O11">
        <f t="shared" ca="1" si="2"/>
        <v>4</v>
      </c>
      <c r="P11">
        <f t="shared" ca="1" si="3"/>
        <v>84</v>
      </c>
      <c r="Q11">
        <f t="shared" ca="1" si="4"/>
        <v>4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10</v>
      </c>
      <c r="M12">
        <f t="shared" ca="1" si="1"/>
        <v>10</v>
      </c>
      <c r="N12">
        <v>80</v>
      </c>
      <c r="O12">
        <f t="shared" ca="1" si="2"/>
        <v>3</v>
      </c>
      <c r="P12">
        <f t="shared" ca="1" si="3"/>
        <v>83</v>
      </c>
      <c r="Q12">
        <f t="shared" ca="1" si="4"/>
        <v>5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2</v>
      </c>
      <c r="M13">
        <f t="shared" ca="1" si="1"/>
        <v>2</v>
      </c>
      <c r="N13">
        <v>80</v>
      </c>
      <c r="O13">
        <f t="shared" ca="1" si="2"/>
        <v>-1</v>
      </c>
      <c r="P13">
        <f t="shared" ca="1" si="3"/>
        <v>79</v>
      </c>
      <c r="Q13">
        <f t="shared" ca="1" si="4"/>
        <v>9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</v>
      </c>
      <c r="M14">
        <f t="shared" ca="1" si="1"/>
        <v>1</v>
      </c>
      <c r="N14">
        <v>80</v>
      </c>
      <c r="O14">
        <f t="shared" ca="1" si="2"/>
        <v>-4</v>
      </c>
      <c r="P14">
        <f t="shared" ca="1" si="3"/>
        <v>76</v>
      </c>
      <c r="Q14">
        <f t="shared" ca="1" si="4"/>
        <v>10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0</v>
      </c>
      <c r="M15">
        <f t="shared" ca="1" si="1"/>
        <v>0</v>
      </c>
      <c r="N15">
        <v>80</v>
      </c>
      <c r="O15">
        <f t="shared" ca="1" si="2"/>
        <v>-11</v>
      </c>
      <c r="P15">
        <f t="shared" ca="1" si="3"/>
        <v>69</v>
      </c>
      <c r="Q15">
        <f t="shared" ca="1" si="4"/>
        <v>18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-6</v>
      </c>
      <c r="P16">
        <f t="shared" ca="1" si="3"/>
        <v>74</v>
      </c>
      <c r="Q16">
        <f t="shared" ca="1" si="4"/>
        <v>14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25</v>
      </c>
      <c r="M17">
        <f t="shared" ca="1" si="1"/>
        <v>25</v>
      </c>
      <c r="N17">
        <v>80</v>
      </c>
      <c r="O17">
        <f t="shared" ca="1" si="2"/>
        <v>14</v>
      </c>
      <c r="P17">
        <f t="shared" ca="1" si="3"/>
        <v>94</v>
      </c>
      <c r="Q17">
        <f t="shared" ca="1" si="4"/>
        <v>1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1</v>
      </c>
      <c r="M18">
        <f t="shared" ca="1" si="1"/>
        <v>1</v>
      </c>
      <c r="N18">
        <v>80</v>
      </c>
      <c r="O18">
        <f t="shared" ca="1" si="2"/>
        <v>-4</v>
      </c>
      <c r="P18">
        <f t="shared" ca="1" si="3"/>
        <v>76</v>
      </c>
      <c r="Q18">
        <f t="shared" ca="1" si="4"/>
        <v>10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15</v>
      </c>
      <c r="M19">
        <f t="shared" ca="1" si="1"/>
        <v>15</v>
      </c>
      <c r="N19">
        <v>80</v>
      </c>
      <c r="O19">
        <f t="shared" ca="1" si="2"/>
        <v>7</v>
      </c>
      <c r="P19">
        <f t="shared" ca="1" si="3"/>
        <v>87</v>
      </c>
      <c r="Q19">
        <f t="shared" ca="1" si="4"/>
        <v>3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-12</v>
      </c>
      <c r="P20">
        <f t="shared" ca="1" si="3"/>
        <v>68</v>
      </c>
      <c r="Q20">
        <f t="shared" ca="1" si="4"/>
        <v>19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-9</v>
      </c>
      <c r="P21">
        <f t="shared" ca="1" si="3"/>
        <v>71</v>
      </c>
      <c r="Q21">
        <f t="shared" ca="1" si="4"/>
        <v>17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-13</v>
      </c>
      <c r="P22">
        <f t="shared" ca="1" si="3"/>
        <v>67</v>
      </c>
      <c r="Q22">
        <f t="shared" ca="1" si="4"/>
        <v>20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-5</v>
      </c>
      <c r="P23">
        <f t="shared" ca="1" si="3"/>
        <v>75</v>
      </c>
      <c r="Q23">
        <f t="shared" ca="1" si="4"/>
        <v>12</v>
      </c>
    </row>
  </sheetData>
  <pageMargins left="0.75" right="0.75" top="1" bottom="1" header="0.5" footer="0.5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Foglio75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127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15</v>
      </c>
      <c r="M4">
        <f t="shared" ref="M4:M23" ca="1" si="1">SUM(C4:L4)</f>
        <v>15</v>
      </c>
      <c r="N4">
        <v>80</v>
      </c>
      <c r="O4">
        <f t="shared" ref="O4:O23" ca="1" si="2">RANDBETWEEN(-15,15)</f>
        <v>8</v>
      </c>
      <c r="P4">
        <f t="shared" ref="P4:P23" ca="1" si="3">N4+O4</f>
        <v>88</v>
      </c>
      <c r="Q4">
        <f t="shared" ref="Q4:Q23" ca="1" si="4">RANK(P4,$P$4:$P$23,0)</f>
        <v>3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0</v>
      </c>
      <c r="M5">
        <f t="shared" ca="1" si="1"/>
        <v>0</v>
      </c>
      <c r="N5">
        <v>80</v>
      </c>
      <c r="O5">
        <f t="shared" ca="1" si="2"/>
        <v>-13</v>
      </c>
      <c r="P5">
        <f t="shared" ca="1" si="3"/>
        <v>67</v>
      </c>
      <c r="Q5">
        <f t="shared" ca="1" si="4"/>
        <v>18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6</v>
      </c>
      <c r="M6">
        <f t="shared" ca="1" si="1"/>
        <v>6</v>
      </c>
      <c r="N6">
        <v>80</v>
      </c>
      <c r="O6">
        <f t="shared" ca="1" si="2"/>
        <v>5</v>
      </c>
      <c r="P6">
        <f t="shared" ca="1" si="3"/>
        <v>85</v>
      </c>
      <c r="Q6">
        <f t="shared" ca="1" si="4"/>
        <v>7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-15</v>
      </c>
      <c r="P7">
        <f t="shared" ca="1" si="3"/>
        <v>65</v>
      </c>
      <c r="Q7">
        <f t="shared" ca="1" si="4"/>
        <v>20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1</v>
      </c>
      <c r="M8">
        <f t="shared" ca="1" si="1"/>
        <v>1</v>
      </c>
      <c r="N8">
        <v>80</v>
      </c>
      <c r="O8" s="2">
        <f t="shared" ca="1" si="2"/>
        <v>1</v>
      </c>
      <c r="P8" s="2">
        <f t="shared" ca="1" si="3"/>
        <v>81</v>
      </c>
      <c r="Q8">
        <f t="shared" ca="1" si="4"/>
        <v>10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15</v>
      </c>
      <c r="M9">
        <f t="shared" ca="1" si="1"/>
        <v>15</v>
      </c>
      <c r="N9">
        <v>80</v>
      </c>
      <c r="O9">
        <f t="shared" ca="1" si="2"/>
        <v>8</v>
      </c>
      <c r="P9">
        <f t="shared" ca="1" si="3"/>
        <v>88</v>
      </c>
      <c r="Q9">
        <f t="shared" ca="1" si="4"/>
        <v>3</v>
      </c>
    </row>
    <row r="10" spans="1:20" x14ac:dyDescent="0.25">
      <c r="A10" t="s">
        <v>40</v>
      </c>
      <c r="B10" t="s">
        <v>28</v>
      </c>
      <c r="C10">
        <f t="shared" ca="1" si="0"/>
        <v>0</v>
      </c>
      <c r="M10">
        <f t="shared" ca="1" si="1"/>
        <v>0</v>
      </c>
      <c r="N10">
        <v>80</v>
      </c>
      <c r="O10">
        <f t="shared" ca="1" si="2"/>
        <v>-7</v>
      </c>
      <c r="P10">
        <f t="shared" ca="1" si="3"/>
        <v>73</v>
      </c>
      <c r="Q10">
        <f t="shared" ca="1" si="4"/>
        <v>13</v>
      </c>
    </row>
    <row r="11" spans="1:20" x14ac:dyDescent="0.25">
      <c r="A11" t="s">
        <v>41</v>
      </c>
      <c r="B11" t="s">
        <v>31</v>
      </c>
      <c r="C11">
        <f t="shared" ca="1" si="0"/>
        <v>1</v>
      </c>
      <c r="M11">
        <f t="shared" ca="1" si="1"/>
        <v>1</v>
      </c>
      <c r="N11">
        <v>80</v>
      </c>
      <c r="O11">
        <f t="shared" ca="1" si="2"/>
        <v>1</v>
      </c>
      <c r="P11">
        <f t="shared" ca="1" si="3"/>
        <v>81</v>
      </c>
      <c r="Q11">
        <f t="shared" ca="1" si="4"/>
        <v>10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-9</v>
      </c>
      <c r="P12">
        <f t="shared" ca="1" si="3"/>
        <v>71</v>
      </c>
      <c r="Q12">
        <f t="shared" ca="1" si="4"/>
        <v>16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0</v>
      </c>
      <c r="M13">
        <f t="shared" ca="1" si="1"/>
        <v>0</v>
      </c>
      <c r="N13">
        <v>80</v>
      </c>
      <c r="O13">
        <f t="shared" ca="1" si="2"/>
        <v>-13</v>
      </c>
      <c r="P13">
        <f t="shared" ca="1" si="3"/>
        <v>67</v>
      </c>
      <c r="Q13">
        <f t="shared" ca="1" si="4"/>
        <v>18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25</v>
      </c>
      <c r="M14">
        <f t="shared" ca="1" si="1"/>
        <v>25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1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18</v>
      </c>
      <c r="M15">
        <f t="shared" ca="1" si="1"/>
        <v>18</v>
      </c>
      <c r="N15">
        <v>80</v>
      </c>
      <c r="O15">
        <f t="shared" ca="1" si="2"/>
        <v>11</v>
      </c>
      <c r="P15">
        <f t="shared" ca="1" si="3"/>
        <v>91</v>
      </c>
      <c r="Q15">
        <f t="shared" ca="1" si="4"/>
        <v>2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8</v>
      </c>
      <c r="M16">
        <f t="shared" ca="1" si="1"/>
        <v>8</v>
      </c>
      <c r="N16">
        <v>80</v>
      </c>
      <c r="O16">
        <f t="shared" ca="1" si="2"/>
        <v>6</v>
      </c>
      <c r="P16">
        <f t="shared" ca="1" si="3"/>
        <v>86</v>
      </c>
      <c r="Q16">
        <f t="shared" ca="1" si="4"/>
        <v>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-8</v>
      </c>
      <c r="P17">
        <f t="shared" ca="1" si="3"/>
        <v>72</v>
      </c>
      <c r="Q17">
        <f t="shared" ca="1" si="4"/>
        <v>14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-8</v>
      </c>
      <c r="P18">
        <f t="shared" ca="1" si="3"/>
        <v>72</v>
      </c>
      <c r="Q18">
        <f t="shared" ca="1" si="4"/>
        <v>14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10</v>
      </c>
      <c r="M19">
        <f t="shared" ca="1" si="1"/>
        <v>10</v>
      </c>
      <c r="N19">
        <v>80</v>
      </c>
      <c r="O19">
        <f t="shared" ca="1" si="2"/>
        <v>7</v>
      </c>
      <c r="P19">
        <f t="shared" ca="1" si="3"/>
        <v>87</v>
      </c>
      <c r="Q19">
        <f t="shared" ca="1" si="4"/>
        <v>5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-11</v>
      </c>
      <c r="P20">
        <f t="shared" ca="1" si="3"/>
        <v>69</v>
      </c>
      <c r="Q20">
        <f t="shared" ca="1" si="4"/>
        <v>17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6</v>
      </c>
      <c r="M21">
        <f t="shared" ca="1" si="1"/>
        <v>6</v>
      </c>
      <c r="N21">
        <v>80</v>
      </c>
      <c r="O21">
        <f t="shared" ca="1" si="2"/>
        <v>5</v>
      </c>
      <c r="P21">
        <f t="shared" ca="1" si="3"/>
        <v>85</v>
      </c>
      <c r="Q21">
        <f t="shared" ca="1" si="4"/>
        <v>7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2</v>
      </c>
      <c r="M22">
        <f t="shared" ca="1" si="1"/>
        <v>2</v>
      </c>
      <c r="N22">
        <v>80</v>
      </c>
      <c r="O22">
        <f t="shared" ca="1" si="2"/>
        <v>3</v>
      </c>
      <c r="P22">
        <f t="shared" ca="1" si="3"/>
        <v>83</v>
      </c>
      <c r="Q22">
        <f t="shared" ca="1" si="4"/>
        <v>9</v>
      </c>
    </row>
    <row r="23" spans="1:20" x14ac:dyDescent="0.25">
      <c r="A23" t="s">
        <v>54</v>
      </c>
      <c r="B23" t="s">
        <v>37</v>
      </c>
      <c r="C23">
        <f t="shared" ca="1" si="0"/>
        <v>0</v>
      </c>
      <c r="M23">
        <f t="shared" ca="1" si="1"/>
        <v>0</v>
      </c>
      <c r="N23">
        <v>80</v>
      </c>
      <c r="O23">
        <f t="shared" ca="1" si="2"/>
        <v>0</v>
      </c>
      <c r="P23">
        <f t="shared" ca="1" si="3"/>
        <v>80</v>
      </c>
      <c r="Q23">
        <f t="shared" ca="1" si="4"/>
        <v>12</v>
      </c>
    </row>
  </sheetData>
  <pageMargins left="0.75" right="0.75" top="1" bottom="1" header="0.5" footer="0.5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Foglio76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128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</v>
      </c>
      <c r="M4">
        <f t="shared" ref="M4:M23" ca="1" si="1">SUM(C4:L4)</f>
        <v>1</v>
      </c>
      <c r="N4">
        <v>80</v>
      </c>
      <c r="O4">
        <f t="shared" ref="O4:O23" ca="1" si="2">RANDBETWEEN(-15,15)</f>
        <v>-3</v>
      </c>
      <c r="P4">
        <f t="shared" ref="P4:P23" ca="1" si="3">N4+O4</f>
        <v>77</v>
      </c>
      <c r="Q4">
        <f t="shared" ref="Q4:Q23" ca="1" si="4">RANK(P4,$P$4:$P$23,0)</f>
        <v>10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6</v>
      </c>
      <c r="M5">
        <f t="shared" ca="1" si="1"/>
        <v>6</v>
      </c>
      <c r="N5">
        <v>80</v>
      </c>
      <c r="O5">
        <f t="shared" ca="1" si="2"/>
        <v>4</v>
      </c>
      <c r="P5">
        <f t="shared" ca="1" si="3"/>
        <v>84</v>
      </c>
      <c r="Q5">
        <f t="shared" ca="1" si="4"/>
        <v>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0</v>
      </c>
      <c r="M6">
        <f t="shared" ca="1" si="1"/>
        <v>0</v>
      </c>
      <c r="N6">
        <v>80</v>
      </c>
      <c r="O6">
        <f t="shared" ca="1" si="2"/>
        <v>-10</v>
      </c>
      <c r="P6">
        <f t="shared" ca="1" si="3"/>
        <v>70</v>
      </c>
      <c r="Q6">
        <f t="shared" ca="1" si="4"/>
        <v>20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-9</v>
      </c>
      <c r="P7">
        <f t="shared" ca="1" si="3"/>
        <v>71</v>
      </c>
      <c r="Q7">
        <f t="shared" ca="1" si="4"/>
        <v>18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2</v>
      </c>
      <c r="M8">
        <f t="shared" ca="1" si="1"/>
        <v>2</v>
      </c>
      <c r="N8">
        <v>80</v>
      </c>
      <c r="O8" s="2">
        <f t="shared" ca="1" si="2"/>
        <v>1</v>
      </c>
      <c r="P8" s="2">
        <f t="shared" ca="1" si="3"/>
        <v>81</v>
      </c>
      <c r="Q8">
        <f t="shared" ca="1" si="4"/>
        <v>9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</v>
      </c>
      <c r="M9">
        <f t="shared" ca="1" si="1"/>
        <v>1</v>
      </c>
      <c r="N9">
        <v>80</v>
      </c>
      <c r="O9">
        <f t="shared" ca="1" si="2"/>
        <v>-3</v>
      </c>
      <c r="P9">
        <f t="shared" ca="1" si="3"/>
        <v>77</v>
      </c>
      <c r="Q9">
        <f t="shared" ca="1" si="4"/>
        <v>10</v>
      </c>
    </row>
    <row r="10" spans="1:20" x14ac:dyDescent="0.25">
      <c r="A10" t="s">
        <v>40</v>
      </c>
      <c r="B10" t="s">
        <v>28</v>
      </c>
      <c r="C10">
        <f t="shared" ca="1" si="0"/>
        <v>4</v>
      </c>
      <c r="M10">
        <f t="shared" ca="1" si="1"/>
        <v>4</v>
      </c>
      <c r="N10">
        <v>80</v>
      </c>
      <c r="O10">
        <f t="shared" ca="1" si="2"/>
        <v>2</v>
      </c>
      <c r="P10">
        <f t="shared" ca="1" si="3"/>
        <v>82</v>
      </c>
      <c r="Q10">
        <f t="shared" ca="1" si="4"/>
        <v>8</v>
      </c>
    </row>
    <row r="11" spans="1:20" x14ac:dyDescent="0.25">
      <c r="A11" t="s">
        <v>41</v>
      </c>
      <c r="B11" t="s">
        <v>31</v>
      </c>
      <c r="C11">
        <f t="shared" ca="1" si="0"/>
        <v>8</v>
      </c>
      <c r="M11">
        <f t="shared" ca="1" si="1"/>
        <v>8</v>
      </c>
      <c r="N11">
        <v>80</v>
      </c>
      <c r="O11">
        <f t="shared" ca="1" si="2"/>
        <v>12</v>
      </c>
      <c r="P11">
        <f t="shared" ca="1" si="3"/>
        <v>92</v>
      </c>
      <c r="Q11">
        <f t="shared" ca="1" si="4"/>
        <v>6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-7</v>
      </c>
      <c r="P12">
        <f t="shared" ca="1" si="3"/>
        <v>73</v>
      </c>
      <c r="Q12">
        <f t="shared" ca="1" si="4"/>
        <v>13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18</v>
      </c>
      <c r="M13">
        <f t="shared" ca="1" si="1"/>
        <v>18</v>
      </c>
      <c r="N13">
        <v>80</v>
      </c>
      <c r="O13">
        <f t="shared" ca="1" si="2"/>
        <v>14</v>
      </c>
      <c r="P13">
        <f t="shared" ca="1" si="3"/>
        <v>94</v>
      </c>
      <c r="Q13">
        <f t="shared" ca="1" si="4"/>
        <v>2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12</v>
      </c>
      <c r="M14">
        <f t="shared" ca="1" si="1"/>
        <v>12</v>
      </c>
      <c r="N14">
        <v>80</v>
      </c>
      <c r="O14">
        <f t="shared" ca="1" si="2"/>
        <v>13</v>
      </c>
      <c r="P14">
        <f t="shared" ca="1" si="3"/>
        <v>93</v>
      </c>
      <c r="Q14">
        <f t="shared" ca="1" si="4"/>
        <v>4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25</v>
      </c>
      <c r="M15">
        <f t="shared" ca="1" si="1"/>
        <v>25</v>
      </c>
      <c r="N15">
        <v>80</v>
      </c>
      <c r="O15">
        <f t="shared" ca="1" si="2"/>
        <v>15</v>
      </c>
      <c r="P15">
        <f t="shared" ca="1" si="3"/>
        <v>95</v>
      </c>
      <c r="Q15">
        <f t="shared" ca="1" si="4"/>
        <v>1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0</v>
      </c>
      <c r="M16">
        <f t="shared" ca="1" si="1"/>
        <v>0</v>
      </c>
      <c r="N16">
        <v>80</v>
      </c>
      <c r="O16">
        <f t="shared" ca="1" si="2"/>
        <v>-8</v>
      </c>
      <c r="P16">
        <f t="shared" ca="1" si="3"/>
        <v>72</v>
      </c>
      <c r="Q16">
        <f t="shared" ca="1" si="4"/>
        <v>17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-7</v>
      </c>
      <c r="P17">
        <f t="shared" ca="1" si="3"/>
        <v>73</v>
      </c>
      <c r="Q17">
        <f t="shared" ca="1" si="4"/>
        <v>13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-9</v>
      </c>
      <c r="P18">
        <f t="shared" ca="1" si="3"/>
        <v>71</v>
      </c>
      <c r="Q18">
        <f t="shared" ca="1" si="4"/>
        <v>18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-5</v>
      </c>
      <c r="P19">
        <f t="shared" ca="1" si="3"/>
        <v>75</v>
      </c>
      <c r="Q19">
        <f t="shared" ca="1" si="4"/>
        <v>12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-7</v>
      </c>
      <c r="P20">
        <f t="shared" ca="1" si="3"/>
        <v>73</v>
      </c>
      <c r="Q20">
        <f t="shared" ca="1" si="4"/>
        <v>13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12</v>
      </c>
      <c r="M21">
        <f t="shared" ca="1" si="1"/>
        <v>12</v>
      </c>
      <c r="N21">
        <v>80</v>
      </c>
      <c r="O21">
        <f t="shared" ca="1" si="2"/>
        <v>13</v>
      </c>
      <c r="P21">
        <f t="shared" ca="1" si="3"/>
        <v>93</v>
      </c>
      <c r="Q21">
        <f t="shared" ca="1" si="4"/>
        <v>4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-7</v>
      </c>
      <c r="P22">
        <f t="shared" ca="1" si="3"/>
        <v>73</v>
      </c>
      <c r="Q22">
        <f t="shared" ca="1" si="4"/>
        <v>13</v>
      </c>
    </row>
    <row r="23" spans="1:20" x14ac:dyDescent="0.25">
      <c r="A23" t="s">
        <v>54</v>
      </c>
      <c r="B23" t="s">
        <v>37</v>
      </c>
      <c r="C23">
        <f t="shared" ca="1" si="0"/>
        <v>18</v>
      </c>
      <c r="M23">
        <f t="shared" ca="1" si="1"/>
        <v>18</v>
      </c>
      <c r="N23">
        <v>80</v>
      </c>
      <c r="O23">
        <f t="shared" ca="1" si="2"/>
        <v>14</v>
      </c>
      <c r="P23">
        <f t="shared" ca="1" si="3"/>
        <v>94</v>
      </c>
      <c r="Q23">
        <f t="shared" ca="1" si="4"/>
        <v>2</v>
      </c>
    </row>
  </sheetData>
  <pageMargins left="0.75" right="0.75" top="1" bottom="1" header="0.5" footer="0.5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Foglio77"/>
  <dimension ref="A1:T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ht="21" x14ac:dyDescent="0.35">
      <c r="A1" s="1" t="s">
        <v>129</v>
      </c>
    </row>
    <row r="3" spans="1:2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S3" s="3" t="s">
        <v>23</v>
      </c>
    </row>
    <row r="4" spans="1:20" x14ac:dyDescent="0.25">
      <c r="A4" t="s">
        <v>24</v>
      </c>
      <c r="B4" t="s">
        <v>25</v>
      </c>
      <c r="C4">
        <f t="shared" ref="C4:C23" ca="1" si="0">IF(Q4&lt;=10,VLOOKUP(Q4,$S$12:$T$21,2,FALSE),0)</f>
        <v>1</v>
      </c>
      <c r="M4">
        <f t="shared" ref="M4:M23" ca="1" si="1">SUM(C4:L4)</f>
        <v>1</v>
      </c>
      <c r="N4">
        <v>80</v>
      </c>
      <c r="O4">
        <f t="shared" ref="O4:O23" ca="1" si="2">RANDBETWEEN(-15,15)</f>
        <v>2</v>
      </c>
      <c r="P4">
        <f t="shared" ref="P4:P23" ca="1" si="3">N4+O4</f>
        <v>82</v>
      </c>
      <c r="Q4">
        <f t="shared" ref="Q4:Q23" ca="1" si="4">RANK(P4,$P$4:$P$23,0)</f>
        <v>10</v>
      </c>
      <c r="S4" t="s">
        <v>26</v>
      </c>
    </row>
    <row r="5" spans="1:20" x14ac:dyDescent="0.25">
      <c r="A5" t="s">
        <v>27</v>
      </c>
      <c r="B5" t="s">
        <v>28</v>
      </c>
      <c r="C5">
        <f t="shared" ca="1" si="0"/>
        <v>6</v>
      </c>
      <c r="M5">
        <f t="shared" ca="1" si="1"/>
        <v>6</v>
      </c>
      <c r="N5">
        <v>80</v>
      </c>
      <c r="O5">
        <f t="shared" ca="1" si="2"/>
        <v>5</v>
      </c>
      <c r="P5">
        <f t="shared" ca="1" si="3"/>
        <v>85</v>
      </c>
      <c r="Q5">
        <f t="shared" ca="1" si="4"/>
        <v>7</v>
      </c>
      <c r="S5" t="s">
        <v>29</v>
      </c>
    </row>
    <row r="6" spans="1:20" x14ac:dyDescent="0.25">
      <c r="A6" t="s">
        <v>30</v>
      </c>
      <c r="B6" t="s">
        <v>31</v>
      </c>
      <c r="C6">
        <f t="shared" ca="1" si="0"/>
        <v>18</v>
      </c>
      <c r="M6">
        <f t="shared" ca="1" si="1"/>
        <v>18</v>
      </c>
      <c r="N6">
        <v>80</v>
      </c>
      <c r="O6">
        <f t="shared" ca="1" si="2"/>
        <v>13</v>
      </c>
      <c r="P6">
        <f t="shared" ca="1" si="3"/>
        <v>93</v>
      </c>
      <c r="Q6">
        <f t="shared" ca="1" si="4"/>
        <v>2</v>
      </c>
      <c r="S6" t="s">
        <v>32</v>
      </c>
    </row>
    <row r="7" spans="1:20" x14ac:dyDescent="0.25">
      <c r="A7" t="s">
        <v>33</v>
      </c>
      <c r="B7" t="s">
        <v>34</v>
      </c>
      <c r="C7">
        <f t="shared" ca="1" si="0"/>
        <v>0</v>
      </c>
      <c r="M7">
        <f t="shared" ca="1" si="1"/>
        <v>0</v>
      </c>
      <c r="N7">
        <v>80</v>
      </c>
      <c r="O7" s="3">
        <f t="shared" ca="1" si="2"/>
        <v>-11</v>
      </c>
      <c r="P7">
        <f t="shared" ca="1" si="3"/>
        <v>69</v>
      </c>
      <c r="Q7">
        <f t="shared" ca="1" si="4"/>
        <v>16</v>
      </c>
      <c r="S7" t="s">
        <v>35</v>
      </c>
    </row>
    <row r="8" spans="1:20" x14ac:dyDescent="0.25">
      <c r="A8" t="s">
        <v>36</v>
      </c>
      <c r="B8" t="s">
        <v>37</v>
      </c>
      <c r="C8">
        <f t="shared" ca="1" si="0"/>
        <v>0</v>
      </c>
      <c r="M8">
        <f t="shared" ca="1" si="1"/>
        <v>0</v>
      </c>
      <c r="N8">
        <v>80</v>
      </c>
      <c r="O8" s="2">
        <f t="shared" ca="1" si="2"/>
        <v>-7</v>
      </c>
      <c r="P8" s="2">
        <f t="shared" ca="1" si="3"/>
        <v>73</v>
      </c>
      <c r="Q8">
        <f t="shared" ca="1" si="4"/>
        <v>14</v>
      </c>
      <c r="S8" t="s">
        <v>38</v>
      </c>
    </row>
    <row r="9" spans="1:20" x14ac:dyDescent="0.25">
      <c r="A9" t="s">
        <v>39</v>
      </c>
      <c r="B9" t="s">
        <v>25</v>
      </c>
      <c r="C9">
        <f t="shared" ca="1" si="0"/>
        <v>10</v>
      </c>
      <c r="M9">
        <f t="shared" ca="1" si="1"/>
        <v>10</v>
      </c>
      <c r="N9">
        <v>80</v>
      </c>
      <c r="O9">
        <f t="shared" ca="1" si="2"/>
        <v>8</v>
      </c>
      <c r="P9">
        <f t="shared" ca="1" si="3"/>
        <v>88</v>
      </c>
      <c r="Q9">
        <f t="shared" ca="1" si="4"/>
        <v>5</v>
      </c>
    </row>
    <row r="10" spans="1:20" x14ac:dyDescent="0.25">
      <c r="A10" t="s">
        <v>40</v>
      </c>
      <c r="B10" t="s">
        <v>28</v>
      </c>
      <c r="C10">
        <f t="shared" ca="1" si="0"/>
        <v>25</v>
      </c>
      <c r="M10">
        <f t="shared" ca="1" si="1"/>
        <v>25</v>
      </c>
      <c r="N10">
        <v>80</v>
      </c>
      <c r="O10">
        <f t="shared" ca="1" si="2"/>
        <v>15</v>
      </c>
      <c r="P10">
        <f t="shared" ca="1" si="3"/>
        <v>95</v>
      </c>
      <c r="Q10">
        <f t="shared" ca="1" si="4"/>
        <v>1</v>
      </c>
    </row>
    <row r="11" spans="1:20" x14ac:dyDescent="0.25">
      <c r="A11" t="s">
        <v>41</v>
      </c>
      <c r="B11" t="s">
        <v>31</v>
      </c>
      <c r="C11">
        <f t="shared" ca="1" si="0"/>
        <v>0</v>
      </c>
      <c r="M11">
        <f t="shared" ca="1" si="1"/>
        <v>0</v>
      </c>
      <c r="N11">
        <v>80</v>
      </c>
      <c r="O11">
        <f t="shared" ca="1" si="2"/>
        <v>-13</v>
      </c>
      <c r="P11">
        <f t="shared" ca="1" si="3"/>
        <v>67</v>
      </c>
      <c r="Q11">
        <f t="shared" ca="1" si="4"/>
        <v>17</v>
      </c>
      <c r="S11" s="3" t="s">
        <v>42</v>
      </c>
    </row>
    <row r="12" spans="1:20" x14ac:dyDescent="0.25">
      <c r="A12" t="s">
        <v>43</v>
      </c>
      <c r="B12" t="s">
        <v>34</v>
      </c>
      <c r="C12">
        <f t="shared" ca="1" si="0"/>
        <v>0</v>
      </c>
      <c r="M12">
        <f t="shared" ca="1" si="1"/>
        <v>0</v>
      </c>
      <c r="N12">
        <v>80</v>
      </c>
      <c r="O12">
        <f t="shared" ca="1" si="2"/>
        <v>-7</v>
      </c>
      <c r="P12">
        <f t="shared" ca="1" si="3"/>
        <v>73</v>
      </c>
      <c r="Q12">
        <f t="shared" ca="1" si="4"/>
        <v>14</v>
      </c>
      <c r="S12">
        <v>1</v>
      </c>
      <c r="T12">
        <v>25</v>
      </c>
    </row>
    <row r="13" spans="1:20" x14ac:dyDescent="0.25">
      <c r="A13" t="s">
        <v>44</v>
      </c>
      <c r="B13" t="s">
        <v>37</v>
      </c>
      <c r="C13">
        <f t="shared" ca="1" si="0"/>
        <v>6</v>
      </c>
      <c r="M13">
        <f t="shared" ca="1" si="1"/>
        <v>6</v>
      </c>
      <c r="N13">
        <v>80</v>
      </c>
      <c r="O13">
        <f t="shared" ca="1" si="2"/>
        <v>5</v>
      </c>
      <c r="P13">
        <f t="shared" ca="1" si="3"/>
        <v>85</v>
      </c>
      <c r="Q13">
        <f t="shared" ca="1" si="4"/>
        <v>7</v>
      </c>
      <c r="S13">
        <v>2</v>
      </c>
      <c r="T13">
        <v>18</v>
      </c>
    </row>
    <row r="14" spans="1:20" x14ac:dyDescent="0.25">
      <c r="A14" t="s">
        <v>45</v>
      </c>
      <c r="B14" t="s">
        <v>25</v>
      </c>
      <c r="C14">
        <f t="shared" ca="1" si="0"/>
        <v>6</v>
      </c>
      <c r="M14">
        <f t="shared" ca="1" si="1"/>
        <v>6</v>
      </c>
      <c r="N14">
        <v>80</v>
      </c>
      <c r="O14">
        <f t="shared" ca="1" si="2"/>
        <v>5</v>
      </c>
      <c r="P14">
        <f t="shared" ca="1" si="3"/>
        <v>85</v>
      </c>
      <c r="Q14">
        <f t="shared" ca="1" si="4"/>
        <v>7</v>
      </c>
      <c r="S14">
        <v>3</v>
      </c>
      <c r="T14">
        <v>15</v>
      </c>
    </row>
    <row r="15" spans="1:20" x14ac:dyDescent="0.25">
      <c r="A15" t="s">
        <v>46</v>
      </c>
      <c r="B15" t="s">
        <v>28</v>
      </c>
      <c r="C15">
        <f t="shared" ca="1" si="0"/>
        <v>12</v>
      </c>
      <c r="M15">
        <f t="shared" ca="1" si="1"/>
        <v>12</v>
      </c>
      <c r="N15">
        <v>80</v>
      </c>
      <c r="O15">
        <f t="shared" ca="1" si="2"/>
        <v>11</v>
      </c>
      <c r="P15">
        <f t="shared" ca="1" si="3"/>
        <v>91</v>
      </c>
      <c r="Q15">
        <f t="shared" ca="1" si="4"/>
        <v>4</v>
      </c>
      <c r="S15">
        <v>4</v>
      </c>
      <c r="T15">
        <v>12</v>
      </c>
    </row>
    <row r="16" spans="1:20" x14ac:dyDescent="0.25">
      <c r="A16" t="s">
        <v>47</v>
      </c>
      <c r="B16" t="s">
        <v>31</v>
      </c>
      <c r="C16">
        <f t="shared" ca="1" si="0"/>
        <v>8</v>
      </c>
      <c r="M16">
        <f t="shared" ca="1" si="1"/>
        <v>8</v>
      </c>
      <c r="N16">
        <v>80</v>
      </c>
      <c r="O16">
        <f t="shared" ca="1" si="2"/>
        <v>7</v>
      </c>
      <c r="P16">
        <f t="shared" ca="1" si="3"/>
        <v>87</v>
      </c>
      <c r="Q16">
        <f t="shared" ca="1" si="4"/>
        <v>6</v>
      </c>
      <c r="S16">
        <v>5</v>
      </c>
      <c r="T16">
        <v>10</v>
      </c>
    </row>
    <row r="17" spans="1:20" x14ac:dyDescent="0.25">
      <c r="A17" t="s">
        <v>48</v>
      </c>
      <c r="B17" t="s">
        <v>34</v>
      </c>
      <c r="C17">
        <f t="shared" ca="1" si="0"/>
        <v>0</v>
      </c>
      <c r="M17">
        <f t="shared" ca="1" si="1"/>
        <v>0</v>
      </c>
      <c r="N17">
        <v>80</v>
      </c>
      <c r="O17">
        <f t="shared" ca="1" si="2"/>
        <v>-4</v>
      </c>
      <c r="P17">
        <f t="shared" ca="1" si="3"/>
        <v>76</v>
      </c>
      <c r="Q17">
        <f t="shared" ca="1" si="4"/>
        <v>12</v>
      </c>
      <c r="S17">
        <v>6</v>
      </c>
      <c r="T17">
        <v>8</v>
      </c>
    </row>
    <row r="18" spans="1:20" x14ac:dyDescent="0.25">
      <c r="A18" t="s">
        <v>49</v>
      </c>
      <c r="B18" t="s">
        <v>37</v>
      </c>
      <c r="C18">
        <f t="shared" ca="1" si="0"/>
        <v>0</v>
      </c>
      <c r="M18">
        <f t="shared" ca="1" si="1"/>
        <v>0</v>
      </c>
      <c r="N18">
        <v>80</v>
      </c>
      <c r="O18">
        <f t="shared" ca="1" si="2"/>
        <v>-5</v>
      </c>
      <c r="P18">
        <f t="shared" ca="1" si="3"/>
        <v>75</v>
      </c>
      <c r="Q18">
        <f t="shared" ca="1" si="4"/>
        <v>13</v>
      </c>
      <c r="S18">
        <v>7</v>
      </c>
      <c r="T18">
        <v>6</v>
      </c>
    </row>
    <row r="19" spans="1:20" x14ac:dyDescent="0.25">
      <c r="A19" t="s">
        <v>50</v>
      </c>
      <c r="B19" t="s">
        <v>25</v>
      </c>
      <c r="C19">
        <f t="shared" ca="1" si="0"/>
        <v>0</v>
      </c>
      <c r="M19">
        <f t="shared" ca="1" si="1"/>
        <v>0</v>
      </c>
      <c r="N19">
        <v>80</v>
      </c>
      <c r="O19">
        <f t="shared" ca="1" si="2"/>
        <v>-13</v>
      </c>
      <c r="P19">
        <f t="shared" ca="1" si="3"/>
        <v>67</v>
      </c>
      <c r="Q19">
        <f t="shared" ca="1" si="4"/>
        <v>17</v>
      </c>
      <c r="S19">
        <v>8</v>
      </c>
      <c r="T19">
        <v>4</v>
      </c>
    </row>
    <row r="20" spans="1:20" x14ac:dyDescent="0.25">
      <c r="A20" t="s">
        <v>51</v>
      </c>
      <c r="B20" t="s">
        <v>28</v>
      </c>
      <c r="C20">
        <f t="shared" ca="1" si="0"/>
        <v>0</v>
      </c>
      <c r="M20">
        <f t="shared" ca="1" si="1"/>
        <v>0</v>
      </c>
      <c r="N20">
        <v>80</v>
      </c>
      <c r="O20">
        <f t="shared" ca="1" si="2"/>
        <v>-3</v>
      </c>
      <c r="P20">
        <f t="shared" ca="1" si="3"/>
        <v>77</v>
      </c>
      <c r="Q20">
        <f t="shared" ca="1" si="4"/>
        <v>11</v>
      </c>
      <c r="S20">
        <v>9</v>
      </c>
      <c r="T20">
        <v>2</v>
      </c>
    </row>
    <row r="21" spans="1:20" x14ac:dyDescent="0.25">
      <c r="A21" t="s">
        <v>52</v>
      </c>
      <c r="B21" t="s">
        <v>31</v>
      </c>
      <c r="C21">
        <f t="shared" ca="1" si="0"/>
        <v>0</v>
      </c>
      <c r="M21">
        <f t="shared" ca="1" si="1"/>
        <v>0</v>
      </c>
      <c r="N21">
        <v>80</v>
      </c>
      <c r="O21">
        <f t="shared" ca="1" si="2"/>
        <v>-14</v>
      </c>
      <c r="P21">
        <f t="shared" ca="1" si="3"/>
        <v>66</v>
      </c>
      <c r="Q21">
        <f t="shared" ca="1" si="4"/>
        <v>19</v>
      </c>
      <c r="S21">
        <v>10</v>
      </c>
      <c r="T21">
        <v>1</v>
      </c>
    </row>
    <row r="22" spans="1:20" x14ac:dyDescent="0.25">
      <c r="A22" t="s">
        <v>53</v>
      </c>
      <c r="B22" t="s">
        <v>34</v>
      </c>
      <c r="C22">
        <f t="shared" ca="1" si="0"/>
        <v>0</v>
      </c>
      <c r="M22">
        <f t="shared" ca="1" si="1"/>
        <v>0</v>
      </c>
      <c r="N22">
        <v>80</v>
      </c>
      <c r="O22">
        <f t="shared" ca="1" si="2"/>
        <v>-14</v>
      </c>
      <c r="P22">
        <f t="shared" ca="1" si="3"/>
        <v>66</v>
      </c>
      <c r="Q22">
        <f t="shared" ca="1" si="4"/>
        <v>19</v>
      </c>
    </row>
    <row r="23" spans="1:20" x14ac:dyDescent="0.25">
      <c r="A23" t="s">
        <v>54</v>
      </c>
      <c r="B23" t="s">
        <v>37</v>
      </c>
      <c r="C23">
        <f t="shared" ca="1" si="0"/>
        <v>18</v>
      </c>
      <c r="M23">
        <f t="shared" ca="1" si="1"/>
        <v>18</v>
      </c>
      <c r="N23">
        <v>80</v>
      </c>
      <c r="O23">
        <f t="shared" ca="1" si="2"/>
        <v>13</v>
      </c>
      <c r="P23">
        <f t="shared" ca="1" si="3"/>
        <v>93</v>
      </c>
      <c r="Q23">
        <f t="shared" ca="1" si="4"/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77</vt:i4>
      </vt:variant>
    </vt:vector>
  </HeadingPairs>
  <TitlesOfParts>
    <vt:vector size="77" baseType="lpstr">
      <vt:lpstr>Statistiche_Globali</vt:lpstr>
      <vt:lpstr>1950</vt:lpstr>
      <vt:lpstr>1951</vt:lpstr>
      <vt:lpstr>1952</vt:lpstr>
      <vt:lpstr>1953</vt:lpstr>
      <vt:lpstr>1954</vt:lpstr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Sangalli</cp:lastModifiedBy>
  <dcterms:created xsi:type="dcterms:W3CDTF">2026-05-13T16:09:30Z</dcterms:created>
  <dcterms:modified xsi:type="dcterms:W3CDTF">2026-06-19T22:41:38Z</dcterms:modified>
</cp:coreProperties>
</file>